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f0abafc8d7400e" /></Relationships>
</file>

<file path=xl/workbook.xml><?xml version="1.0" encoding="utf-8"?>
<x:workbook xmlns:x="http://schemas.openxmlformats.org/spreadsheetml/2006/main">
  <x:sheets>
    <x:sheet xmlns:r="http://schemas.openxmlformats.org/officeDocument/2006/relationships" name="客户总表" sheetId="1" r:id="R28755a1d4b974059"/>
    <x:sheet xmlns:r="http://schemas.openxmlformats.org/officeDocument/2006/relationships" name="成本与流程" sheetId="2" r:id="Rab1f7bc59611438a"/>
    <x:sheet xmlns:r="http://schemas.openxmlformats.org/officeDocument/2006/relationships" name="字段说明" sheetId="3" r:id="Rab0ebbea56b34969"/>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
    <x:numFmt numFmtId="201" formatCode="#,##0"/>
    <x:numFmt numFmtId="202" formatCode="0.0%"/>
    <x:numFmt numFmtId="203" formatCode="yyyy-mm-dd"/>
    <x:numFmt numFmtId="204" formatCode="0%"/>
    <x:numFmt numFmtId="205" formatCode="#,##0&quot; 家&quot;"/>
    <x:numFmt numFmtId="206" formatCode="&quot;¥&quot;#,##0.00&quot;/家&quot;"/>
    <x:numFmt numFmtId="207" formatCode="&quot;¥&quot;#,##0.00"/>
  </x:numFmts>
  <x:fonts count="9">
    <x:font>
      <x:sz val="11"/>
      <x:name val="Carlito"/>
    </x:font>
    <x:font>
      <x:b/>
      <x:sz val="18"/>
      <x:color rgb="FFFFFFFF"/>
      <x:name val="Carlito"/>
    </x:font>
    <x:font>
      <x:sz val="10"/>
      <x:color rgb="FF1F1F1F"/>
      <x:name val="Carlito"/>
    </x:font>
    <x:font>
      <x:b/>
      <x:sz val="11"/>
      <x:color rgb="FF17365D"/>
      <x:name val="Carlito"/>
    </x:font>
    <x:font>
      <x:i/>
      <x:sz val="9"/>
      <x:color rgb="FF595959"/>
      <x:name val="Carlito"/>
    </x:font>
    <x:font>
      <x:b/>
      <x:sz val="10"/>
      <x:color rgb="FFFFFFFF"/>
      <x:name val="Carlito"/>
    </x:font>
    <x:font>
      <x:sz val="9"/>
      <x:color rgb="FF1F1F1F"/>
      <x:name val="Carlito"/>
    </x:font>
    <x:font>
      <x:b/>
      <x:sz val="16"/>
      <x:color rgb="FFFFFFFF"/>
      <x:name val="Carlito"/>
    </x:font>
    <x:font>
      <x:b/>
      <x:sz val="11"/>
      <x:color rgb="FFFFFFFF"/>
      <x:name val="Carlito"/>
    </x:font>
  </x:fonts>
  <x:fills count="9">
    <x:fill>
      <x:patternFill patternType="none"/>
    </x:fill>
    <x:fill>
      <x:patternFill patternType="gray125"/>
    </x:fill>
    <x:fill>
      <x:patternFill patternType="solid">
        <x:fgColor rgb="FFE8EEF8"/>
      </x:patternFill>
    </x:fill>
    <x:fill>
      <x:patternFill patternType="solid">
        <x:fgColor rgb="FFDDEBF7"/>
      </x:patternFill>
    </x:fill>
    <x:fill>
      <x:patternFill patternType="solid">
        <x:fgColor rgb="FFFFF2CC"/>
      </x:patternFill>
    </x:fill>
    <x:fill>
      <x:patternFill patternType="solid">
        <x:fgColor rgb="FF17365D"/>
      </x:patternFill>
    </x:fill>
    <x:fill>
      <x:patternFill patternType="solid">
        <x:fgColor rgb="FFDCE6F1"/>
      </x:patternFill>
    </x:fill>
    <x:fill>
      <x:patternFill patternType="solid">
        <x:fgColor rgb="FFF2F2F2"/>
      </x:patternFill>
    </x:fill>
    <x:fill>
      <x:patternFill patternType="solid">
        <x:fgColor rgb="FF4472C4"/>
      </x:patternFill>
    </x:fill>
  </x:fills>
  <x:borders count="1">
    <x:border/>
  </x:borders>
  <x:cellStyleXfs count="1">
    <x:xf numFmtId="0" fontId="0" fillId="0" borderId="0"/>
  </x:cellStyleXfs>
  <x:cellXfs count="52">
    <x:xf numFmtId="0" fontId="0" fillId="0" borderId="0" xfId="0"/>
    <x:xf numFmtId="0" fontId="0" fillId="2" borderId="0" xfId="0" applyNumberFormat="1" applyFont="1" applyFill="1" applyBorder="1"/>
    <x:xf numFmtId="0" fontId="0"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3" fillId="2" borderId="0" xfId="0" applyNumberFormat="1" applyFont="1" applyFill="1" applyBorder="1"/>
    <x:xf numFmtId="0" fontId="3" fillId="3" borderId="0" xfId="0" applyNumberFormat="1" applyFont="1" applyFill="1" applyBorder="1"/>
    <x:xf numFmtId="0" fontId="3" fillId="4" borderId="0" xfId="0" applyNumberFormat="1" applyFont="1" applyFill="1" applyBorder="1"/>
    <x:xf numFmtId="0" fontId="3" fillId="2" borderId="0" xfId="0" applyNumberFormat="1" applyFont="1" applyFill="1" applyBorder="1" applyAlignment="1">
      <x:alignment horizontal="center"/>
    </x:xf>
    <x:xf numFmtId="0" fontId="3" fillId="3" borderId="0" xfId="0" applyNumberFormat="1" applyFont="1" applyFill="1" applyBorder="1" applyAlignment="1">
      <x:alignment horizontal="center"/>
    </x:xf>
    <x:xf numFmtId="0" fontId="3" fillId="4" borderId="0"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left" wrapText="1"/>
    </x:xf>
    <x:xf numFmtId="0" fontId="4" fillId="7" borderId="0" xfId="0" applyNumberFormat="1" applyFont="1" applyFill="1" applyBorder="1" applyAlignment="1">
      <x:alignment horizontal="lef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1" fontId="6" fillId="0" borderId="0"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203" fontId="6" fillId="0" borderId="0" xfId="0" applyNumberFormat="1" applyFont="1" applyFill="1" applyBorder="1" applyAlignment="1">
      <x:alignment vertical="top" wrapText="1"/>
    </x:xf>
    <x:xf numFmtId="204" fontId="6" fillId="0" borderId="0" xfId="0" applyNumberFormat="1" applyFont="1" applyFill="1" applyBorder="1" applyAlignment="1">
      <x:alignment vertical="top" wrapText="1"/>
    </x:xf>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8" fillId="8" borderId="0" xfId="0" applyNumberFormat="1" applyFont="1" applyFill="1" applyBorder="1"/>
    <x:xf numFmtId="0" fontId="8" fillId="8" borderId="0" xfId="0" applyNumberFormat="1" applyFont="1" applyFill="1" applyBorder="1" applyAlignment="1">
      <x:alignment wrapText="1"/>
    </x:xf>
    <x:xf numFmtId="0"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206"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5"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right" wrapText="1"/>
    </x:xf>
    <x:xf numFmtId="0" fontId="8" fillId="8" borderId="0" xfId="0" applyNumberFormat="1" applyFont="1" applyFill="1" applyBorder="1" applyAlignment="1">
      <x:alignment horizontal="right" wrapText="1"/>
    </x:xf>
    <x:xf numFmtId="201" fontId="0" fillId="0" borderId="0" xfId="0" applyNumberFormat="1" applyFont="1" applyFill="1" applyBorder="1" applyAlignment="1">
      <x:alignment horizontal="right" wrapText="1"/>
    </x:xf>
    <x:xf numFmtId="207" fontId="0" fillId="0" borderId="0" xfId="0" applyNumberFormat="1" applyFont="1" applyFill="1" applyBorder="1" applyAlignment="1">
      <x:alignment horizontal="right" wrapText="1"/>
    </x:xf>
    <x:xf numFmtId="206" fontId="0" fillId="0" borderId="0" xfId="0" applyNumberFormat="1" applyFont="1" applyFill="1" applyBorder="1" applyAlignment="1">
      <x:alignment horizontal="right" wrapText="1"/>
    </x:xf>
  </x:cellXfs>
  <x:cellStyles count="1">
    <x:cellStyle name="Normal" xfId="0"/>
  </x:cellStyles>
  <x:dxfs count="3">
    <x:dxf>
      <x:font>
        <x:b/>
        <x:color rgb="FF274E13"/>
      </x:font>
      <x:fill>
        <x:patternFill patternType="solid">
          <x:bgColor rgb="FFD9EAD3"/>
        </x:patternFill>
      </x:fill>
    </x:dxf>
    <x:dxf>
      <x:font>
        <x:color rgb="FF274E13"/>
      </x:font>
      <x:fill>
        <x:patternFill patternType="solid">
          <x:bgColor rgb="FFD9EAD3"/>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9737d895bc40da" /><Relationship Type="http://schemas.openxmlformats.org/officeDocument/2006/relationships/theme" Target="/xl/theme/theme1.xml" Id="Re2686f7c95364ad6" /><Relationship Type="http://schemas.openxmlformats.org/officeDocument/2006/relationships/sharedStrings" Target="/xl/sharedStrings.xml" Id="R00cba542263b4fac" /><Relationship Type="http://schemas.openxmlformats.org/officeDocument/2006/relationships/worksheet" Target="/xl/worksheets/sheet1.xml" Id="R28755a1d4b974059" /><Relationship Type="http://schemas.openxmlformats.org/officeDocument/2006/relationships/worksheet" Target="/xl/worksheets/sheet2.xml" Id="Rab1f7bc59611438a" /><Relationship Type="http://schemas.openxmlformats.org/officeDocument/2006/relationships/worksheet" Target="/xl/worksheets/sheet3.xml" Id="Rab0ebbea56b34969" /></Relationships>
</file>

<file path=xl/tables/table1.xml><?xml version="1.0" encoding="utf-8"?>
<x:table xmlns:x="http://schemas.openxmlformats.org/spreadsheetml/2006/main" id="1" name="CustomerMasterTable" displayName="CustomerMasterTable" ref="A6:AO276" headerRowCount="1" totalsRowCount="0" totalsRowShown="0">
  <x:autoFilter ref="A6:AO276"/>
  <x:tableColumns count="41">
    <x:tableColumn id="1" name="研究状态"/>
    <x:tableColumn id="2" name="市场优先级"/>
    <x:tableColumn id="3" name="产品品类（中文）"/>
    <x:tableColumn id="4" name="公司ID"/>
    <x:tableColumn id="5" name="公司名称"/>
    <x:tableColumn id="6" name="国家/地区（中文）"/>
    <x:tableColumn id="7" name="首选邮箱"/>
    <x:tableColumn id="8" name="邮箱可用状态"/>
    <x:tableColumn id="9" name="首选电话"/>
    <x:tableColumn id="10" name="官网"/>
    <x:tableColumn id="11" name="联系完整度"/>
    <x:tableColumn id="12" name="跟进状态"/>
    <x:tableColumn id="13" name="负责人"/>
    <x:tableColumn id="14" name="API地址（原文）"/>
    <x:tableColumn id="15" name="官网核验地址（原文）"/>
    <x:tableColumn id="16" name="经营范围（中文）"/>
    <x:tableColumn id="17" name="匹配贸易次数"/>
    <x:tableColumn id="18" name="贸易总次数"/>
    <x:tableColumn id="19" name="匹配占比"/>
    <x:tableColumn id="20" name="最近贸易日期"/>
    <x:tableColumn id="21" name="API邮箱"/>
    <x:tableColumn id="22" name="官网补充邮箱"/>
    <x:tableColumn id="23" name="API电话"/>
    <x:tableColumn id="24" name="官网补充电话"/>
    <x:tableColumn id="25" name="电话验证详情"/>
    <x:tableColumn id="26" name="WhatsApp"/>
    <x:tableColumn id="27" name="社交媒体"/>
    <x:tableColumn id="28" name="官网联系渠道"/>
    <x:tableColumn id="29" name="邮箱验证详情"/>
    <x:tableColumn id="30" name="产品名称"/>
    <x:tableColumn id="31" name="产品标签"/>
    <x:tableColumn id="32" name="报关品名/命中证据（原文）"/>
    <x:tableColumn id="33" name="产品别名"/>
    <x:tableColumn id="34" name="上游词"/>
    <x:tableColumn id="35" name="下游词"/>
    <x:tableColumn id="36" name="搜索词（中文）"/>
    <x:tableColumn id="37" name="搜索原始来源"/>
    <x:tableColumn id="38" name="API联系方式来源"/>
    <x:tableColumn id="39" name="官网核验来源"/>
    <x:tableColumn id="40" name="官网核验说明"/>
    <x:tableColumn id="41" name="最后核验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5238256ab344d1"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18" hidden="0" customWidth="1"/>
    <x:col min="4" max="4" width="12" hidden="0" customWidth="1"/>
    <x:col min="5" max="5" width="34" hidden="0" customWidth="1"/>
    <x:col min="6" max="6" width="11" hidden="0" customWidth="1"/>
    <x:col min="7" max="7" width="32" hidden="0" customWidth="1"/>
    <x:col min="8" max="8" width="15" hidden="0" customWidth="1"/>
    <x:col min="9" max="9" width="24" hidden="0" customWidth="1"/>
    <x:col min="10" max="10" width="28" hidden="0" customWidth="1"/>
    <x:col min="11" max="11" width="13" hidden="0" customWidth="1"/>
    <x:col min="12" max="12" width="12" hidden="0" customWidth="1"/>
    <x:col min="13" max="13" width="12" hidden="0" customWidth="1"/>
    <x:col min="14" max="14" width="30" hidden="0" customWidth="1"/>
    <x:col min="15" max="15" width="30" hidden="0" customWidth="1"/>
    <x:col min="16" max="16" width="38" hidden="0" customWidth="1"/>
    <x:col min="17" max="17" width="13" hidden="0" customWidth="1"/>
    <x:col min="18" max="18" width="13" hidden="0" customWidth="1"/>
    <x:col min="19" max="19" width="12" hidden="0" customWidth="1"/>
    <x:col min="20" max="20" width="14" hidden="0" customWidth="1"/>
    <x:col min="21" max="21" width="32" hidden="0" customWidth="1"/>
    <x:col min="22" max="22" width="35" hidden="0" customWidth="1"/>
    <x:col min="23" max="23" width="24" hidden="0" customWidth="1"/>
    <x:col min="24" max="24" width="24" hidden="0" customWidth="1"/>
    <x:col min="25" max="25" width="42" hidden="0" customWidth="1"/>
    <x:col min="26" max="26" width="22" hidden="0" customWidth="1"/>
    <x:col min="27" max="27" width="32" hidden="0" customWidth="1"/>
    <x:col min="28" max="28" width="25" hidden="0" customWidth="1"/>
    <x:col min="29" max="29" width="38" hidden="0" customWidth="1"/>
    <x:col min="30" max="30" width="30" hidden="0" customWidth="1"/>
    <x:col min="31" max="31" width="28" hidden="0" customWidth="1"/>
    <x:col min="32" max="32" width="55" hidden="0" customWidth="1"/>
    <x:col min="33" max="33" width="35" hidden="0" customWidth="1"/>
    <x:col min="34" max="34" width="28" hidden="0" customWidth="1"/>
    <x:col min="35" max="35" width="28" hidden="0" customWidth="1"/>
    <x:col min="36" max="36" width="20" hidden="0" customWidth="1"/>
    <x:col min="37" max="37" width="32" hidden="0" customWidth="1"/>
    <x:col min="38" max="38" width="34" hidden="0" customWidth="1"/>
    <x:col min="39" max="39" width="42" hidden="0" customWidth="1"/>
    <x:col min="40" max="40" width="50" hidden="0" customWidth="1"/>
    <x:col min="41" max="41" width="14" hidden="0" customWidth="1"/>
  </x:cols>
  <x:sheetData>
    <x:row r="1" ht="32" customHeight="1">
      <x:c r="A1" s="7" t="str">
        <x:v>八类产品全球客户总表</x:v>
      </x:c>
      <x:c r="B1" s="7"/>
      <x:c r="C1" s="7"/>
      <x:c r="D1" s="7"/>
      <x:c r="E1" s="7"/>
      <x:c r="F1" s="7"/>
      <x:c r="G1" s="7"/>
      <x:c r="H1" s="7"/>
      <x:c r="I1" s="7"/>
      <x:c r="J1" s="7"/>
      <x:c r="K1" s="7"/>
      <x:c r="L1" s="7"/>
      <x:c r="M1" s="7"/>
      <x:c r="N1" s="7"/>
      <x:c r="O1" s="7"/>
      <x:c r="P1" s="7"/>
      <x:c r="Q1" s="7"/>
      <x:c r="R1" s="7"/>
      <x:c r="S1" s="7"/>
      <x:c r="T1" s="7"/>
      <x:c r="U1" s="7"/>
      <x:c r="V1" s="7"/>
      <x:c r="W1" s="7"/>
      <x:c r="X1" s="7"/>
      <x:c r="Y1" s="7"/>
      <x:c r="Z1" s="7"/>
      <x:c r="AA1" s="7"/>
      <x:c r="AB1" s="7"/>
      <x:c r="AC1" s="7"/>
      <x:c r="AD1" s="7"/>
      <x:c r="AE1" s="7"/>
      <x:c r="AF1" s="7"/>
      <x:c r="AG1" s="7"/>
      <x:c r="AH1" s="7"/>
      <x:c r="AI1" s="7"/>
      <x:c r="AJ1" s="7"/>
      <x:c r="AK1" s="7"/>
      <x:c r="AL1" s="7"/>
      <x:c r="AM1" s="7"/>
      <x:c r="AN1" s="7"/>
      <x:c r="AO1" s="7"/>
    </x:row>
    <x:row r="2" ht="24" customHeight="1">
      <x:c r="A2" s="11" t="str">
        <x:v>胶带、遮蔽膜、刷子、猪毛刷、羊毛刷、PVC护角条、塑料桶、油漆刷 · 一行一家公司 · 全球覆盖、欧美优先 · 更新：2026-07-17</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c r="AE2" s="11"/>
      <x:c r="AF2" s="11"/>
      <x:c r="AG2" s="11"/>
      <x:c r="AH2" s="11"/>
      <x:c r="AI2" s="11"/>
      <x:c r="AJ2" s="11"/>
      <x:c r="AK2" s="11"/>
      <x:c r="AL2" s="11"/>
      <x:c r="AM2" s="11"/>
      <x:c r="AN2" s="11"/>
      <x:c r="AO2" s="11"/>
    </x:row>
    <x:row r="3" ht="27" customHeight="1">
      <x:c r="A3" s="15" t="str">
        <x:v>公司总数</x:v>
      </x:c>
      <x:c r="B3" s="15"/>
      <x:c r="C3" s="15"/>
      <x:c r="D3" s="15"/>
      <x:c r="E3" s="16" t="n">
        <x:f>COUNTA(E7:E276)</x:f>
        <x:v>270</x:v>
      </x:c>
      <x:c r="F3" s="16"/>
      <x:c r="G3" s="16"/>
      <x:c r="H3" s="16"/>
      <x:c r="I3" s="15" t="str">
        <x:v>有效联系方式公司</x:v>
      </x:c>
      <x:c r="J3" s="15"/>
      <x:c r="K3" s="15"/>
      <x:c r="L3" s="15"/>
      <x:c r="M3" s="16" t="n">
        <x:f>'成本与流程'!B4</x:f>
        <x:v>270</x:v>
      </x:c>
      <x:c r="N3" s="16"/>
      <x:c r="O3" s="16"/>
      <x:c r="P3" s="16"/>
      <x:c r="Q3" s="15" t="str">
        <x:v>有效邮箱公司</x:v>
      </x:c>
      <x:c r="R3" s="15"/>
      <x:c r="S3" s="15"/>
      <x:c r="T3" s="15"/>
      <x:c r="U3" s="16" t="n">
        <x:f>COUNTIF(H7:H276,"已验证有效")</x:f>
        <x:v>205</x:v>
      </x:c>
      <x:c r="V3" s="16"/>
      <x:c r="W3" s="16"/>
      <x:c r="X3" s="16"/>
      <x:c r="Y3" s="15" t="str">
        <x:v>有效电话公司</x:v>
      </x:c>
      <x:c r="Z3" s="15"/>
      <x:c r="AA3" s="15"/>
      <x:c r="AB3" s="15"/>
      <x:c r="AC3" s="16" t="n">
        <x:f>COUNTIF(Y7:Y276,"*状态1*")</x:f>
        <x:v>0</x:v>
      </x:c>
      <x:c r="AD3" s="16"/>
      <x:c r="AE3" s="16"/>
      <x:c r="AF3" s="16"/>
      <x:c r="AG3" s="17" t="str">
        <x:v>OpenAPI 累计费用：¥387.10 / 上限 ¥500.00</x:v>
      </x:c>
      <x:c r="AH3" s="17"/>
      <x:c r="AI3" s="17"/>
      <x:c r="AJ3" s="17"/>
      <x:c r="AK3" s="17"/>
      <x:c r="AL3" s="17"/>
      <x:c r="AM3" s="17"/>
      <x:c r="AN3" s="17"/>
      <x:c r="AO3" s="17"/>
    </x:row>
    <x:row r="4" ht="32" customHeight="1">
      <x:c r="A4" s="22" t="str">
        <x:v>使用：先筛选“市场优先级”和“邮箱可用状态”。邮箱 1=有效、2=无效、3=不确定、0=接口已调用但未能检测；电话详情为 状态/类型/WhatsApp。原始证据见 data/raw/。</x:v>
      </x:c>
      <x:c r="B4" s="22"/>
      <x:c r="C4" s="22"/>
      <x:c r="D4" s="22"/>
      <x:c r="E4" s="22"/>
      <x:c r="F4" s="22"/>
      <x:c r="G4" s="22"/>
      <x:c r="H4" s="22"/>
      <x:c r="I4" s="22"/>
      <x:c r="J4" s="22"/>
      <x:c r="K4" s="22"/>
      <x:c r="L4" s="22"/>
      <x:c r="M4" s="22"/>
      <x:c r="N4" s="22"/>
      <x:c r="O4" s="22"/>
      <x:c r="P4" s="22"/>
      <x:c r="Q4" s="22"/>
      <x:c r="R4" s="22"/>
      <x:c r="S4" s="22"/>
      <x:c r="T4" s="22"/>
      <x:c r="U4" s="22"/>
      <x:c r="V4" s="22"/>
      <x:c r="W4" s="22"/>
      <x:c r="X4" s="22"/>
      <x:c r="Y4" s="22"/>
      <x:c r="Z4" s="22"/>
      <x:c r="AA4" s="22"/>
      <x:c r="AB4" s="22"/>
      <x:c r="AC4" s="22"/>
      <x:c r="AD4" s="22"/>
      <x:c r="AE4" s="22"/>
      <x:c r="AF4" s="22"/>
      <x:c r="AG4" s="22"/>
      <x:c r="AH4" s="22"/>
      <x:c r="AI4" s="22"/>
      <x:c r="AJ4" s="22"/>
      <x:c r="AK4" s="22"/>
      <x:c r="AL4" s="22"/>
      <x:c r="AM4" s="22"/>
      <x:c r="AN4" s="22"/>
      <x:c r="AO4" s="22"/>
    </x:row>
    <x:row r="6" ht="36" customHeight="1">
      <x:c r="A6" s="27" t="str">
        <x:v>研究状态</x:v>
      </x:c>
      <x:c r="B6" s="27" t="str">
        <x:v>市场优先级</x:v>
      </x:c>
      <x:c r="C6" s="27" t="str">
        <x:v>产品品类（中文）</x:v>
      </x:c>
      <x:c r="D6" s="27" t="str">
        <x:v>公司ID</x:v>
      </x:c>
      <x:c r="E6" s="27" t="str">
        <x:v>公司名称</x:v>
      </x:c>
      <x:c r="F6" s="27" t="str">
        <x:v>国家/地区（中文）</x:v>
      </x:c>
      <x:c r="G6" s="27" t="str">
        <x:v>首选邮箱</x:v>
      </x:c>
      <x:c r="H6" s="27" t="str">
        <x:v>邮箱可用状态</x:v>
      </x:c>
      <x:c r="I6" s="27" t="str">
        <x:v>首选电话</x:v>
      </x:c>
      <x:c r="J6" s="27" t="str">
        <x:v>官网</x:v>
      </x:c>
      <x:c r="K6" s="27" t="str">
        <x:v>联系完整度</x:v>
      </x:c>
      <x:c r="L6" s="27" t="str">
        <x:v>跟进状态</x:v>
      </x:c>
      <x:c r="M6" s="27" t="str">
        <x:v>负责人</x:v>
      </x:c>
      <x:c r="N6" s="27" t="str">
        <x:v>API地址（原文）</x:v>
      </x:c>
      <x:c r="O6" s="27" t="str">
        <x:v>官网核验地址（原文）</x:v>
      </x:c>
      <x:c r="P6" s="27" t="str">
        <x:v>经营范围（中文）</x:v>
      </x:c>
      <x:c r="Q6" s="27" t="str">
        <x:v>匹配贸易次数</x:v>
      </x:c>
      <x:c r="R6" s="27" t="str">
        <x:v>贸易总次数</x:v>
      </x:c>
      <x:c r="S6" s="27" t="str">
        <x:v>匹配占比</x:v>
      </x:c>
      <x:c r="T6" s="27" t="str">
        <x:v>最近贸易日期</x:v>
      </x:c>
      <x:c r="U6" s="27" t="str">
        <x:v>API邮箱</x:v>
      </x:c>
      <x:c r="V6" s="27" t="str">
        <x:v>官网补充邮箱</x:v>
      </x:c>
      <x:c r="W6" s="27" t="str">
        <x:v>API电话</x:v>
      </x:c>
      <x:c r="X6" s="27" t="str">
        <x:v>官网补充电话</x:v>
      </x:c>
      <x:c r="Y6" s="27" t="str">
        <x:v>电话验证详情</x:v>
      </x:c>
      <x:c r="Z6" s="27" t="str">
        <x:v>WhatsApp</x:v>
      </x:c>
      <x:c r="AA6" s="27" t="str">
        <x:v>社交媒体</x:v>
      </x:c>
      <x:c r="AB6" s="27" t="str">
        <x:v>官网联系渠道</x:v>
      </x:c>
      <x:c r="AC6" s="27" t="str">
        <x:v>邮箱验证详情</x:v>
      </x:c>
      <x:c r="AD6" s="27" t="str">
        <x:v>产品名称</x:v>
      </x:c>
      <x:c r="AE6" s="27" t="str">
        <x:v>产品标签</x:v>
      </x:c>
      <x:c r="AF6" s="27" t="str">
        <x:v>报关品名/命中证据（原文）</x:v>
      </x:c>
      <x:c r="AG6" s="27" t="str">
        <x:v>产品别名</x:v>
      </x:c>
      <x:c r="AH6" s="27" t="str">
        <x:v>上游词</x:v>
      </x:c>
      <x:c r="AI6" s="27" t="str">
        <x:v>下游词</x:v>
      </x:c>
      <x:c r="AJ6" s="27" t="str">
        <x:v>搜索词（中文）</x:v>
      </x:c>
      <x:c r="AK6" s="27" t="str">
        <x:v>搜索原始来源</x:v>
      </x:c>
      <x:c r="AL6" s="27" t="str">
        <x:v>API联系方式来源</x:v>
      </x:c>
      <x:c r="AM6" s="27" t="str">
        <x:v>官网核验来源</x:v>
      </x:c>
      <x:c r="AN6" s="27" t="str">
        <x:v>官网核验说明</x:v>
      </x:c>
      <x:c r="AO6" s="27" t="str">
        <x:v>最后核验日期</x:v>
      </x:c>
    </x:row>
    <x:row r="7" ht="44" customHeight="1">
      <x:c r="A7" s="30" t="str">
        <x:v>API联系方式已获取</x:v>
      </x:c>
      <x:c r="B7" s="30" t="str">
        <x:v>高-欧美</x:v>
      </x:c>
      <x:c r="C7" s="30" t="str">
        <x:v>刷子</x:v>
      </x:c>
      <x:c r="D7" s="31" t="str">
        <x:v>549813</x:v>
      </x:c>
      <x:c r="E7" s="30" t="str">
        <x:v>stanley black decker usa inc.</x:v>
      </x:c>
      <x:c r="F7" s="30" t="str">
        <x:v>美国</x:v>
      </x:c>
      <x:c r="G7" s="30" t="str">
        <x:v>tim.perra@swkbdk.com</x:v>
      </x:c>
      <x:c r="H7" s="30" t="str">
        <x:f>IF(ISNUMBER(SEARCH(":1",AC7)),"已验证有效",IF(ISNUMBER(SEARCH(":3",AC7)),"验证不确定",IF(ISNUMBER(SEARCH(":0",AC7)),"接口未能检测",IF(ISNUMBER(SEARCH(":2",AC7)),"判定无效",IF(V7&lt;&gt;"","官网已确认-未验证","无邮箱")))))</x:f>
        <x:v>已验证有效</x:v>
      </x:c>
      <x:c r="I7" s="30" t="str">
        <x:v>+1 860-225-5111</x:v>
      </x:c>
      <x:c r="J7" s="30" t="str">
        <x:v>http://www.stanleyblackanddecker.com</x:v>
      </x:c>
      <x:c r="K7" s="35" t="n">
        <x:f>ROUND((IF(H7="已验证有效",40,IF(V7&lt;&gt;"",20,0))+IF(ISNUMBER(SEARCH("状态1",Y7)),25,0)+IF(J7&lt;&gt;"",20,0)+IF(AA7&lt;&gt;"",15,0))/100,2)</x:f>
        <x:v>0.85</x:v>
      </x:c>
      <x:c r="L7" s="30" t="str">
        <x:v>待联系</x:v>
      </x:c>
      <x:c r="M7" s="30" t="str"/>
      <x:c r="N7" s="30" t="str">
        <x:v>1000 stanley drive new britain, ct 06053</x:v>
      </x:c>
      <x:c r="O7" s="30" t="str"/>
      <x:c r="P7" s="30" t="str">
        <x:v>外壳，航运，鳕鱼，强制，离子，帽子，排列钉，阿曼紧固件，1000，单位，计数，158，琥珀色，锂，模型，苏丹娜</x:v>
      </x:c>
      <x:c r="Q7" s="32" t="n">
        <x:v>2706</x:v>
      </x:c>
      <x:c r="R7" s="32" t="n">
        <x:v>323862</x:v>
      </x:c>
      <x:c r="S7" s="33" t="n">
        <x:v>0.0084</x:v>
      </x:c>
      <x:c r="T7" s="34" t="n">
        <x:v>46133.666666666664</x:v>
      </x:c>
      <x:c r="U7" s="30" t="str">
        <x:v>tim.perra@swkbdk.com</x:v>
      </x:c>
      <x:c r="V7" s="30" t="str"/>
      <x:c r="W7" s="30" t="str">
        <x:v>+1 860-225-5111</x:v>
      </x:c>
      <x:c r="X7" s="30" t="str"/>
      <x:c r="Y7" s="30" t="str">
        <x:v>+1 860-225-5111:状态1/类型3/WhatsApp2</x:v>
      </x:c>
      <x:c r="Z7" s="30" t="str"/>
      <x:c r="AA7" s="30" t="str"/>
      <x:c r="AB7" s="30" t="str"/>
      <x:c r="AC7" s="30" t="str">
        <x:v>tim.perra@swkbdk.com:1</x:v>
      </x:c>
      <x:c r="AD7" s="30" t="str"/>
      <x:c r="AE7" s="30" t="str">
        <x:v>blade for woodworking brush；counter with blade for woodworking brush；woodworking brush</x:v>
      </x:c>
      <x:c r="AF7" s="30" t="str">
        <x:v>CEPILLOS CEPILLOS DE CARPINTERO PARA TRABAJAR MADERA</x:v>
      </x:c>
      <x:c r="AG7" s="30" t="str"/>
      <x:c r="AH7" s="30" t="str"/>
      <x:c r="AI7" s="30" t="str"/>
      <x:c r="AJ7" s="30" t="str">
        <x:v>刷子</x:v>
      </x:c>
      <x:c r="AK7" s="30" t="str">
        <x:v>expansion-search-brush-page-01</x:v>
      </x:c>
      <x:c r="AL7" s="30" t="str">
        <x:v>UpKuajing customs company contact API</x:v>
      </x:c>
      <x:c r="AM7" s="30" t="str"/>
      <x:c r="AN7" s="30" t="str"/>
      <x:c r="AO7" s="34" t="n">
        <x:v>46220</x:v>
      </x:c>
    </x:row>
    <x:row r="8" ht="44" customHeight="1">
      <x:c r="A8" s="30" t="str">
        <x:v>API联系方式已获取</x:v>
      </x:c>
      <x:c r="B8" s="30" t="str">
        <x:v>高-欧美</x:v>
      </x:c>
      <x:c r="C8" s="30" t="str">
        <x:v>刷子</x:v>
      </x:c>
      <x:c r="D8" s="31" t="str">
        <x:v>71399857</x:v>
      </x:c>
      <x:c r="E8" s="30" t="str">
        <x:v>DYNASTY SHIPPING LLC</x:v>
      </x:c>
      <x:c r="F8" s="30" t="str">
        <x:v>美国</x:v>
      </x:c>
      <x:c r="G8" s="30" t="str">
        <x:v>do@dynasty-lax.com</x:v>
      </x:c>
      <x:c r="H8" s="30" t="str">
        <x:f>IF(ISNUMBER(SEARCH(":1",AC8)),"已验证有效",IF(ISNUMBER(SEARCH(":3",AC8)),"验证不确定",IF(ISNUMBER(SEARCH(":0",AC8)),"接口未能检测",IF(ISNUMBER(SEARCH(":2",AC8)),"判定无效",IF(V8&lt;&gt;"","官网已确认-未验证","无邮箱")))))</x:f>
        <x:v>已验证有效</x:v>
      </x:c>
      <x:c r="I8" s="30" t="str">
        <x:v>+1 562-474-8289</x:v>
      </x:c>
      <x:c r="J8" s="30" t="str"/>
      <x:c r="K8" s="35" t="n">
        <x:f>ROUND((IF(H8="已验证有效",40,IF(V8&lt;&gt;"",20,0))+IF(ISNUMBER(SEARCH("状态1",Y8)),25,0)+IF(J8&lt;&gt;"",20,0)+IF(AA8&lt;&gt;"",15,0))/100,2)</x:f>
        <x:v>0.65</x:v>
      </x:c>
      <x:c r="L8" s="30" t="str">
        <x:v>待联系</x:v>
      </x:c>
      <x:c r="M8" s="30" t="str"/>
      <x:c r="N8" s="30" t="str">
        <x:v>Cerritos, California</x:v>
      </x:c>
      <x:c r="O8" s="30" t="str"/>
      <x:c r="P8" s="30" t="str">
        <x:v>暂无经营范围信息</x:v>
      </x:c>
      <x:c r="Q8" s="32" t="n">
        <x:v>1587</x:v>
      </x:c>
      <x:c r="R8" s="32" t="n">
        <x:v>26344</x:v>
      </x:c>
      <x:c r="S8" s="33" t="n">
        <x:v>0.0602</x:v>
      </x:c>
      <x:c r="T8" s="34" t="n">
        <x:v>46196.666666666664</x:v>
      </x:c>
      <x:c r="U8" s="30" t="str">
        <x:v>do@dynasty-lax.com; op@dynshippingllc.com</x:v>
      </x:c>
      <x:c r="V8" s="30" t="str"/>
      <x:c r="W8" s="30" t="str">
        <x:v>5624748289; 5624748271; 5624748016; +1 562-474-8289</x:v>
      </x:c>
      <x:c r="X8" s="30" t="str"/>
      <x:c r="Y8" s="30" t="str">
        <x:v>5624748289:状态2/类型0/WhatsApp2; 5624748271:状态2/类型0/WhatsApp0; 5624748016:状态2/类型0/WhatsApp0; +1 562-474-8289:状态1/类型3/WhatsApp2</x:v>
      </x:c>
      <x:c r="Z8" s="30" t="str"/>
      <x:c r="AA8" s="30" t="str"/>
      <x:c r="AB8" s="30" t="str"/>
      <x:c r="AC8" s="30" t="str">
        <x:v>do@dynasty-lax.com:1; op@dynshippingllc.com:0</x:v>
      </x:c>
      <x:c r="AD8" s="30" t="str"/>
      <x:c r="AE8" s="30" t="str"/>
      <x:c r="AF8" s="30" t="str">
        <x:v>PLASTIC CLEANING BRUSH PLASTIC FOLDER</x:v>
      </x:c>
      <x:c r="AG8" s="30" t="str"/>
      <x:c r="AH8" s="30" t="str"/>
      <x:c r="AI8" s="30" t="str"/>
      <x:c r="AJ8" s="30" t="str">
        <x:v>刷子</x:v>
      </x:c>
      <x:c r="AK8" s="30" t="str">
        <x:v>expansion-search-brush-page-01</x:v>
      </x:c>
      <x:c r="AL8" s="30" t="str">
        <x:v>UpKuajing customs company contact API</x:v>
      </x:c>
      <x:c r="AM8" s="30" t="str"/>
      <x:c r="AN8" s="30" t="str"/>
      <x:c r="AO8" s="34" t="n">
        <x:v>46220</x:v>
      </x:c>
    </x:row>
    <x:row r="9" ht="44" customHeight="1">
      <x:c r="A9" s="30" t="str">
        <x:v>API联系方式已获取</x:v>
      </x:c>
      <x:c r="B9" s="30" t="str">
        <x:v>高-欧美</x:v>
      </x:c>
      <x:c r="C9" s="30" t="str">
        <x:v>刷子</x:v>
      </x:c>
      <x:c r="D9" s="31" t="str">
        <x:v>71464001</x:v>
      </x:c>
      <x:c r="E9" s="30" t="str">
        <x:v>PRIME AGENCY</x:v>
      </x:c>
      <x:c r="F9" s="30" t="str">
        <x:v>美国</x:v>
      </x:c>
      <x:c r="G9" s="30" t="str">
        <x:v>manager@ontoplogistics.com.cn</x:v>
      </x:c>
      <x:c r="H9" s="30" t="str">
        <x:f>IF(ISNUMBER(SEARCH(":1",AC9)),"已验证有效",IF(ISNUMBER(SEARCH(":3",AC9)),"验证不确定",IF(ISNUMBER(SEARCH(":0",AC9)),"接口未能检测",IF(ISNUMBER(SEARCH(":2",AC9)),"判定无效",IF(V9&lt;&gt;"","官网已确认-未验证","无邮箱")))))</x:f>
        <x:v>已验证有效</x:v>
      </x:c>
      <x:c r="I9" s="30" t="str">
        <x:v>+1 626-709-4198</x:v>
      </x:c>
      <x:c r="J9" s="30" t="str"/>
      <x:c r="K9" s="35" t="n">
        <x:f>ROUND((IF(H9="已验证有效",40,IF(V9&lt;&gt;"",20,0))+IF(ISNUMBER(SEARCH("状态1",Y9)),25,0)+IF(J9&lt;&gt;"",20,0)+IF(AA9&lt;&gt;"",15,0))/100,2)</x:f>
        <x:v>0.65</x:v>
      </x:c>
      <x:c r="L9" s="30" t="str">
        <x:v>待联系</x:v>
      </x:c>
      <x:c r="M9" s="30" t="str"/>
      <x:c r="N9" s="30" t="str">
        <x:v>City of Industry, California</x:v>
      </x:c>
      <x:c r="O9" s="30" t="str"/>
      <x:c r="P9" s="30" t="str">
        <x:v>暂无经营范围信息</x:v>
      </x:c>
      <x:c r="Q9" s="32" t="n">
        <x:v>1008</x:v>
      </x:c>
      <x:c r="R9" s="32" t="n">
        <x:v>179043</x:v>
      </x:c>
      <x:c r="S9" s="33" t="n">
        <x:v>0.005600000000000001</x:v>
      </x:c>
      <x:c r="T9" s="34" t="n">
        <x:v>46210.666666666664</x:v>
      </x:c>
      <x:c r="U9" s="30" t="str">
        <x:v>angel@usprimeagency.com; chris@usprimeagency.com; dp8@usprimeagency.co; evan@usprimeagency.com; joey@usprimeagency.com; manager@ontoplogistics.com.cn; shirley@usaprimeagency.co; shirley@usaprimeagency.com</x:v>
      </x:c>
      <x:c r="V9" s="30" t="str"/>
      <x:c r="W9" s="30" t="str">
        <x:v>6267094198; 6266587433; 6267093355; 6262282218; +1 626-709-4198; 6262282205; +62 656 70568; 6262282213; 53117225311; 6267093906; 2016436787; 3109614812</x:v>
      </x:c>
      <x:c r="X9" s="30" t="str"/>
      <x:c r="Y9" s="30" t="str">
        <x:v>6267094198:状态2/类型0/WhatsApp2; 6266587433:状态2/类型0/WhatsApp2; 6267093355:状态2/类型0/WhatsApp2; 6262282218:状态2/类型0/WhatsApp2; +1 626-709-4198:状态1/类型3/WhatsApp2; 6262282205:状态2/类型0/WhatsApp2; +62 656 70568:状态1/类型1/WhatsApp2; 6262282213:状态2/类型0/WhatsApp2; 53117225311:状态2/类型0/WhatsApp0; 6267093906:状态2/类型0/WhatsApp2; 2016436787:状态2/类型0/WhatsApp2; 3109614812:状态2/类型0/WhatsApp0</x:v>
      </x:c>
      <x:c r="Z9" s="30" t="str"/>
      <x:c r="AA9" s="30" t="str"/>
      <x:c r="AB9" s="30" t="str"/>
      <x:c r="AC9" s="30" t="str">
        <x:v>angel@usprimeagency.com:0; chris@usprimeagency.com:0; dp8@usprimeagency.co:0; evan@usprimeagency.com:0; joey@usprimeagency.com:0; manager@ontoplogistics.com.cn:1; shirley@usaprimeagency.co:0; shirley@usaprimeagency.com:0</x:v>
      </x:c>
      <x:c r="AD9" s="30" t="str"/>
      <x:c r="AE9" s="30" t="str"/>
      <x:c r="AF9" s="30" t="str">
        <x:v>METAL WALL HANGING STICKER METAL WALL HANGING STICKER RESIN ORNAMENTS PLASTIC RACK ROLLER BRUSH XXXXXXXXXXXXXXX</x:v>
      </x:c>
      <x:c r="AG9" s="30" t="str"/>
      <x:c r="AH9" s="30" t="str"/>
      <x:c r="AI9" s="30" t="str"/>
      <x:c r="AJ9" s="30" t="str">
        <x:v>刷子</x:v>
      </x:c>
      <x:c r="AK9" s="30" t="str">
        <x:v>expansion-search-brush-page-01</x:v>
      </x:c>
      <x:c r="AL9" s="30" t="str">
        <x:v>UpKuajing customs company contact API</x:v>
      </x:c>
      <x:c r="AM9" s="30" t="str"/>
      <x:c r="AN9" s="30" t="str"/>
      <x:c r="AO9" s="34" t="n">
        <x:v>46220</x:v>
      </x:c>
    </x:row>
    <x:row r="10" ht="44" customHeight="1">
      <x:c r="A10" s="30" t="str">
        <x:v>API联系方式已获取</x:v>
      </x:c>
      <x:c r="B10" s="30" t="str">
        <x:v>高-欧美</x:v>
      </x:c>
      <x:c r="C10" s="30" t="str">
        <x:v>刷子</x:v>
      </x:c>
      <x:c r="D10" s="31" t="str">
        <x:v>71380209</x:v>
      </x:c>
      <x:c r="E10" s="30" t="str">
        <x:v>BESTLINE SUPPLY CHAIN (USA) INC</x:v>
      </x:c>
      <x:c r="F10" s="30" t="str">
        <x:v>美国</x:v>
      </x:c>
      <x:c r="G10" s="30" t="str">
        <x:v>shipping@bestlineworld.com</x:v>
      </x:c>
      <x:c r="H10" s="30" t="str">
        <x:f>IF(ISNUMBER(SEARCH(":1",AC10)),"已验证有效",IF(ISNUMBER(SEARCH(":3",AC10)),"验证不确定",IF(ISNUMBER(SEARCH(":0",AC10)),"接口未能检测",IF(ISNUMBER(SEARCH(":2",AC10)),"判定无效",IF(V10&lt;&gt;"","官网已确认-未验证","无邮箱")))))</x:f>
        <x:v>已验证有效</x:v>
      </x:c>
      <x:c r="I10" s="30" t="str">
        <x:v>+1 626-262-6172</x:v>
      </x:c>
      <x:c r="J10" s="30" t="str"/>
      <x:c r="K10" s="35" t="n">
        <x:f>ROUND((IF(H10="已验证有效",40,IF(V10&lt;&gt;"",20,0))+IF(ISNUMBER(SEARCH("状态1",Y10)),25,0)+IF(J10&lt;&gt;"",20,0)+IF(AA10&lt;&gt;"",15,0))/100,2)</x:f>
        <x:v>0.65</x:v>
      </x:c>
      <x:c r="L10" s="30" t="str">
        <x:v>待联系</x:v>
      </x:c>
      <x:c r="M10" s="30" t="str"/>
      <x:c r="N10" s="30" t="str">
        <x:v>Diamond Bar, California</x:v>
      </x:c>
      <x:c r="O10" s="30" t="str"/>
      <x:c r="P10" s="30" t="str">
        <x:v>暂无经营范围信息</x:v>
      </x:c>
      <x:c r="Q10" s="32" t="n">
        <x:v>998</x:v>
      </x:c>
      <x:c r="R10" s="32" t="n">
        <x:v>39096</x:v>
      </x:c>
      <x:c r="S10" s="33" t="n">
        <x:v>0.0255</x:v>
      </x:c>
      <x:c r="T10" s="34" t="n">
        <x:v>46211.666666666664</x:v>
      </x:c>
      <x:c r="U10" s="30" t="str">
        <x:v>shipping@bestlineworld.com</x:v>
      </x:c>
      <x:c r="V10" s="30" t="str"/>
      <x:c r="W10" s="30" t="str">
        <x:v>6262626172; +1 626-262-6172</x:v>
      </x:c>
      <x:c r="X10" s="30" t="str"/>
      <x:c r="Y10" s="30" t="str">
        <x:v>6262626172:状态2/类型0/WhatsApp2; +1 626-262-6172:状态1/类型3/WhatsApp1</x:v>
      </x:c>
      <x:c r="Z10" s="30" t="str">
        <x:v>+1 626-262-6172</x:v>
      </x:c>
      <x:c r="AA10" s="30" t="str"/>
      <x:c r="AB10" s="30" t="str"/>
      <x:c r="AC10" s="30" t="str">
        <x:v>shipping@bestlineworld.com:1</x:v>
      </x:c>
      <x:c r="AD10" s="30" t="str"/>
      <x:c r="AE10" s="30" t="str"/>
      <x:c r="AF10" s="30" t="str">
        <x:v>PHONE CASE CLEANING BRUSH HEAD TABLE STAND RO LLER BRUSH THIS</x:v>
      </x:c>
      <x:c r="AG10" s="30" t="str"/>
      <x:c r="AH10" s="30" t="str"/>
      <x:c r="AI10" s="30" t="str"/>
      <x:c r="AJ10" s="30" t="str">
        <x:v>刷子</x:v>
      </x:c>
      <x:c r="AK10" s="30" t="str">
        <x:v>expansion-search-brush-page-01</x:v>
      </x:c>
      <x:c r="AL10" s="30" t="str">
        <x:v>UpKuajing customs company contact API</x:v>
      </x:c>
      <x:c r="AM10" s="30" t="str"/>
      <x:c r="AN10" s="30" t="str"/>
      <x:c r="AO10" s="34" t="n">
        <x:v>46220</x:v>
      </x:c>
    </x:row>
    <x:row r="11" ht="44" customHeight="1">
      <x:c r="A11" s="30" t="str">
        <x:v>API联系方式已获取</x:v>
      </x:c>
      <x:c r="B11" s="30" t="str">
        <x:v>高-欧美</x:v>
      </x:c>
      <x:c r="C11" s="30" t="str">
        <x:v>刷子</x:v>
      </x:c>
      <x:c r="D11" s="31" t="str">
        <x:v>217979</x:v>
      </x:c>
      <x:c r="E11" s="30" t="str">
        <x:v>dollarama l p co</x:v>
      </x:c>
      <x:c r="F11" s="30" t="str">
        <x:v>美国</x:v>
      </x:c>
      <x:c r="G11" s="30" t="str">
        <x:v>contactus@dollarama.com</x:v>
      </x:c>
      <x:c r="H11" s="30" t="str">
        <x:f>IF(ISNUMBER(SEARCH(":1",AC11)),"已验证有效",IF(ISNUMBER(SEARCH(":3",AC11)),"验证不确定",IF(ISNUMBER(SEARCH(":0",AC11)),"接口未能检测",IF(ISNUMBER(SEARCH(":2",AC11)),"判定无效",IF(V11&lt;&gt;"","官网已确认-未验证","无邮箱")))))</x:f>
        <x:v>接口未能检测</x:v>
      </x:c>
      <x:c r="I11" s="30" t="str">
        <x:v>+1 514-737-1006</x:v>
      </x:c>
      <x:c r="J11" s="30" t="str">
        <x:v>http://www.dollarama.com/</x:v>
      </x:c>
      <x:c r="K11" s="35" t="n">
        <x:f>ROUND((IF(H11="已验证有效",40,IF(V11&lt;&gt;"",20,0))+IF(ISNUMBER(SEARCH("状态1",Y11)),25,0)+IF(J11&lt;&gt;"",20,0)+IF(AA11&lt;&gt;"",15,0))/100,2)</x:f>
        <x:v>0.45</x:v>
      </x:c>
      <x:c r="L11" s="30" t="str">
        <x:v>待联系</x:v>
      </x:c>
      <x:c r="M11" s="30" t="str"/>
      <x:c r="N11" s="30" t="str">
        <x:v>5805 av royalmount mont-royal, qc h4p 0a1 canada</x:v>
      </x:c>
      <x:c r="O11" s="30" t="str"/>
      <x:c r="P11" s="30" t="str">
        <x:v>透明钻石，猫盘，支架套装，烘焙杯，袋子，彩色铅笔，管，聚氯乙烯防滑，泡沫贴纸，酷，泡沫油漆刷，夹，窗户刮刀，塑料箍，麦芽汁，盖子，小，圣诞雪人，3吨</x:v>
      </x:c>
      <x:c r="Q11" s="32" t="n">
        <x:v>903</x:v>
      </x:c>
      <x:c r="R11" s="32" t="n">
        <x:v>127197</x:v>
      </x:c>
      <x:c r="S11" s="33" t="n">
        <x:v>0.0070999999999999995</x:v>
      </x:c>
      <x:c r="T11" s="34" t="n">
        <x:v>46191.666666666664</x:v>
      </x:c>
      <x:c r="U11" s="30" t="str">
        <x:v>contactus@dollarama.com</x:v>
      </x:c>
      <x:c r="V11" s="30" t="str"/>
      <x:c r="W11" s="30" t="str">
        <x:v>+1 514-737-1006</x:v>
      </x:c>
      <x:c r="X11" s="30" t="str"/>
      <x:c r="Y11" s="30" t="str">
        <x:v>+1 514-737-1006:状态1/类型3/WhatsApp2</x:v>
      </x:c>
      <x:c r="Z11" s="30" t="str"/>
      <x:c r="AA11" s="30" t="str"/>
      <x:c r="AB11" s="30" t="str"/>
      <x:c r="AC11" s="30" t="str">
        <x:v>contactus@dollarama.com:0</x:v>
      </x:c>
      <x:c r="AD11" s="30" t="str"/>
      <x:c r="AE11" s="30" t="str">
        <x:v>turner；ocean carrier；cargo；note；peeler；silicone spatula set；ion；wood；fur；hat；ppe；pc；inform；stainless steel kitchen；bamboo；shed；pc mini；fabric scissors；silicone basting brush；cd；believe；hair brush；shaving brush；accurate；inco；e base；oil；lease；stainless steel solid；ledge；刷子；stainless steel</x:v>
      </x:c>
      <x:c r="AF11" s="30" t="str">
        <x:v>SHIPPER_DESCRIPTION (FABRIC SCISSORS 15.5CM SILICONE BASTING BRUSH WITH WOOD HA NDLE 3PCS STAINLESS STEEL KITCHEN T OOLS STAINLESS STEEL Y PEELER 2PC MINI SILICONE SPATULA SET WITH BAMBOO H ANDLE STAINLESS STEEL SOLID TURNER HS: 3924100000 HS: 7323930000 HS: 8213000000 HS: 8214900010 HS: 8 215200000 HS: 9603290090) - HSCD_DESCRI PTION (HAIR BRUSHES, SHAVING BRUSHES &amp; TOILE T BRUSHES) PLEASE NOTE - QUANTITY AND DESCRIPTION OF THECARGO ARE BASED ON THE SHIPPER S LOAD AND CO UNT. OCEAN CARRIER HAS NO KNOWLEDGE, INFORMATION, OR REASON TO BELIEVE OR SUSPECT THAT TH E INFORMATION FURNISHED BY THE SHIPPER IS INCOMPLETE, INACCURATE, OR FALSE&lt;br/&gt;</x:v>
      </x:c>
      <x:c r="AG11" s="30" t="str"/>
      <x:c r="AH11" s="30" t="str"/>
      <x:c r="AI11" s="30" t="str"/>
      <x:c r="AJ11" s="30" t="str">
        <x:v>刷子</x:v>
      </x:c>
      <x:c r="AK11" s="30" t="str">
        <x:v>expansion-search-brush-page-01</x:v>
      </x:c>
      <x:c r="AL11" s="30" t="str">
        <x:v>UpKuajing customs company contact API</x:v>
      </x:c>
      <x:c r="AM11" s="30" t="str"/>
      <x:c r="AN11" s="30" t="str"/>
      <x:c r="AO11" s="34" t="n">
        <x:v>46220</x:v>
      </x:c>
    </x:row>
    <x:row r="12" ht="44" customHeight="1">
      <x:c r="A12" s="30" t="str">
        <x:v>API联系方式已获取</x:v>
      </x:c>
      <x:c r="B12" s="30" t="str">
        <x:v>高-欧美</x:v>
      </x:c>
      <x:c r="C12" s="30" t="str">
        <x:v>刷子</x:v>
      </x:c>
      <x:c r="D12" s="31" t="str">
        <x:v>227608</x:v>
      </x:c>
      <x:c r="E12" s="30" t="str">
        <x:v>wal mart shores inc.</x:v>
      </x:c>
      <x:c r="F12" s="30" t="str">
        <x:v>美国</x:v>
      </x:c>
      <x:c r="G12" s="30" t="str">
        <x:v>sales@walmartstores.com</x:v>
      </x:c>
      <x:c r="H12" s="30" t="str">
        <x:f>IF(ISNUMBER(SEARCH(":1",AC12)),"已验证有效",IF(ISNUMBER(SEARCH(":3",AC12)),"验证不确定",IF(ISNUMBER(SEARCH(":0",AC12)),"接口未能检测",IF(ISNUMBER(SEARCH(":2",AC12)),"判定无效",IF(V12&lt;&gt;"","官网已确认-未验证","无邮箱")))))</x:f>
        <x:v>接口未能检测</x:v>
      </x:c>
      <x:c r="I12" s="30" t="str">
        <x:v>+1 479-273-4000</x:v>
      </x:c>
      <x:c r="J12" s="30" t="str">
        <x:v>http://www.walmartstores.com</x:v>
      </x:c>
      <x:c r="K12" s="35" t="n">
        <x:f>ROUND((IF(H12="已验证有效",40,IF(V12&lt;&gt;"",20,0))+IF(ISNUMBER(SEARCH("状态1",Y12)),25,0)+IF(J12&lt;&gt;"",20,0)+IF(AA12&lt;&gt;"",15,0))/100,2)</x:f>
        <x:v>0.45</x:v>
      </x:c>
      <x:c r="L12" s="30" t="str">
        <x:v>待联系</x:v>
      </x:c>
      <x:c r="M12" s="30" t="str"/>
      <x:c r="N12" s="30" t="str">
        <x:v>702 sw eighth st bentonville ar 72716</x:v>
      </x:c>
      <x:c r="O12" s="30" t="str"/>
      <x:c r="P12" s="30" t="str">
        <x:v>钻头、绘画套装、涤纶面料、彩色铅笔、运动衫、12、酷、台灯、小熨斗、预冷、金属环、混合玻璃、极限、铃儿响叮当、棉床单、木柱、伊斯坦布尔、勒伦、牛皮纸盒、香料盒</x:v>
      </x:c>
      <x:c r="Q12" s="32" t="n">
        <x:v>871</x:v>
      </x:c>
      <x:c r="R12" s="32" t="n">
        <x:v>579860</x:v>
      </x:c>
      <x:c r="S12" s="33" t="n">
        <x:v>0.0015</x:v>
      </x:c>
      <x:c r="T12" s="34" t="n">
        <x:v>46073.666666666664</x:v>
      </x:c>
      <x:c r="U12" s="30" t="str">
        <x:v>sales@walmartstores.com</x:v>
      </x:c>
      <x:c r="V12" s="30" t="str"/>
      <x:c r="W12" s="30" t="str">
        <x:v>+1 479-273-4000</x:v>
      </x:c>
      <x:c r="X12" s="30" t="str"/>
      <x:c r="Y12" s="30" t="str">
        <x:v>+1 479-273-4000:状态1/类型3/WhatsApp2</x:v>
      </x:c>
      <x:c r="Z12" s="30" t="str"/>
      <x:c r="AA12" s="30" t="str"/>
      <x:c r="AB12" s="30" t="str"/>
      <x:c r="AC12" s="30" t="str">
        <x:v>sales@walmartstores.com:0</x:v>
      </x:c>
      <x:c r="AD12" s="30" t="str"/>
      <x:c r="AE12" s="30" t="str">
        <x:v>h 331；刷子；equate；ion；dental tooth；tooth brush</x:v>
      </x:c>
      <x:c r="AF12" s="30" t="str">
        <x:v>TOOTH BRUSHES SION H 331 680816005 DB 100 EQUATE DENTAL TOOTHBRUSH</x:v>
      </x:c>
      <x:c r="AG12" s="30" t="str"/>
      <x:c r="AH12" s="30" t="str"/>
      <x:c r="AI12" s="30" t="str"/>
      <x:c r="AJ12" s="30" t="str">
        <x:v>刷子</x:v>
      </x:c>
      <x:c r="AK12" s="30" t="str">
        <x:v>expansion-search-brush-page-01</x:v>
      </x:c>
      <x:c r="AL12" s="30" t="str">
        <x:v>UpKuajing customs company contact API</x:v>
      </x:c>
      <x:c r="AM12" s="30" t="str"/>
      <x:c r="AN12" s="30" t="str"/>
      <x:c r="AO12" s="34" t="n">
        <x:v>46220</x:v>
      </x:c>
    </x:row>
    <x:row r="13" ht="44" customHeight="1">
      <x:c r="A13" s="30" t="str">
        <x:v>API联系方式已获取</x:v>
      </x:c>
      <x:c r="B13" s="30" t="str">
        <x:v>高-欧美</x:v>
      </x:c>
      <x:c r="C13" s="30" t="str">
        <x:v>刷子</x:v>
      </x:c>
      <x:c r="D13" s="31" t="str">
        <x:v>71371201</x:v>
      </x:c>
      <x:c r="E13" s="30" t="str">
        <x:v>AMAZON SERVICES LLC</x:v>
      </x:c>
      <x:c r="F13" s="30" t="str">
        <x:v>美国</x:v>
      </x:c>
      <x:c r="G13" s="30" t="str">
        <x:v>anguangling2022@163.com</x:v>
      </x:c>
      <x:c r="H13" s="30" t="str">
        <x:f>IF(ISNUMBER(SEARCH(":1",AC13)),"已验证有效",IF(ISNUMBER(SEARCH(":3",AC13)),"验证不确定",IF(ISNUMBER(SEARCH(":0",AC13)),"接口未能检测",IF(ISNUMBER(SEARCH(":2",AC13)),"判定无效",IF(V13&lt;&gt;"","官网已确认-未验证","无邮箱")))))</x:f>
        <x:v>已验证有效</x:v>
      </x:c>
      <x:c r="I13" s="30" t="str">
        <x:v>71093831900</x:v>
      </x:c>
      <x:c r="J13" s="30" t="str"/>
      <x:c r="K13" s="35" t="n">
        <x:f>ROUND((IF(H13="已验证有效",40,IF(V13&lt;&gt;"",20,0))+IF(ISNUMBER(SEARCH("状态1",Y13)),25,0)+IF(J13&lt;&gt;"",20,0)+IF(AA13&lt;&gt;"",15,0))/100,2)</x:f>
        <x:v>0.4</x:v>
      </x:c>
      <x:c r="L13" s="30" t="str">
        <x:v>待联系</x:v>
      </x:c>
      <x:c r="M13" s="30" t="str"/>
      <x:c r="N13" s="30" t="str">
        <x:v>Seattle, Washington</x:v>
      </x:c>
      <x:c r="O13" s="30" t="str"/>
      <x:c r="P13" s="30" t="str">
        <x:v>暂无经营范围信息</x:v>
      </x:c>
      <x:c r="Q13" s="32" t="n">
        <x:v>690</x:v>
      </x:c>
      <x:c r="R13" s="32" t="n">
        <x:v>44815</x:v>
      </x:c>
      <x:c r="S13" s="33" t="n">
        <x:v>0.0154</x:v>
      </x:c>
      <x:c r="T13" s="34" t="n">
        <x:v>45776.666666666664</x:v>
      </x:c>
      <x:c r="U13" s="30" t="str">
        <x:v>1957323327@qq.com; 3244420392@qq.com; 420392@qq.com; anguangling2022@163.com; anna@fbaxc.com; anne8527@163.com; chengxing0722@163.com; mack.sun@kerryeas.com</x:v>
      </x:c>
      <x:c r="V13" s="30" t="str"/>
      <x:c r="W13" s="30" t="str">
        <x:v>71093831900; 8472281878; 6265595707; 6264389074; 2106264389074; 71093731900; 06263418899; 8667628766; 8185879999; 6263418899; 6706268663668; 3244420392; 6268663668; 1957323327; 171093831900</x:v>
      </x:c>
      <x:c r="X13" s="30" t="str"/>
      <x:c r="Y13" s="30" t="str">
        <x:v>71093831900:状态2/类型0/WhatsApp0; 8472281878:状态2/类型0/WhatsApp0; 6265595707:状态2/类型0/WhatsApp0; 6264389074:状态2/类型0/WhatsApp0; 2106264389074:状态2/类型0/WhatsApp0; 71093731900:状态2/类型0/WhatsApp2; 06263418899:状态2/类型0/WhatsApp0; 8667628766:状态2/类型0/WhatsApp0; 8185879999:状态2/类型0/WhatsApp0; 6263418899:状态2/类型0/WhatsApp0; 6706268663668:状态2/类型0/WhatsApp0; 3244420392:状态2/类型0/WhatsApp0; 6268663668:状态2/类型0/WhatsApp0; 1957323327:状态2/类型0/WhatsApp0; 171093831900:状态2/类型0/WhatsApp2</x:v>
      </x:c>
      <x:c r="Z13" s="30" t="str"/>
      <x:c r="AA13" s="30" t="str"/>
      <x:c r="AB13" s="30" t="str"/>
      <x:c r="AC13" s="30" t="str">
        <x:v>1957323327@qq.com:0; 3244420392@qq.com:0; 420392@qq.com:0; anguangling2022@163.com:1; anna@fbaxc.com:1; anne8527@163.com:1; chengxing0722@163.com:1; mack.sun@kerryeas.com:1</x:v>
      </x:c>
      <x:c r="AD13" s="30" t="str"/>
      <x:c r="AE13" s="30" t="str"/>
      <x:c r="AF13" s="30" t="str">
        <x:v>CAR WASH BRUSH THIS SHIPMENT CONTAINS NO SOLID WOOD PACKING MATERIALS</x:v>
      </x:c>
      <x:c r="AG13" s="30" t="str"/>
      <x:c r="AH13" s="30" t="str"/>
      <x:c r="AI13" s="30" t="str"/>
      <x:c r="AJ13" s="30" t="str">
        <x:v>刷子</x:v>
      </x:c>
      <x:c r="AK13" s="30" t="str">
        <x:v>expansion-search-brush-page-01</x:v>
      </x:c>
      <x:c r="AL13" s="30" t="str">
        <x:v>UpKuajing customs company contact API</x:v>
      </x:c>
      <x:c r="AM13" s="30" t="str"/>
      <x:c r="AN13" s="30" t="str"/>
      <x:c r="AO13" s="34" t="n">
        <x:v>46220</x:v>
      </x:c>
    </x:row>
    <x:row r="14" ht="44" customHeight="1">
      <x:c r="A14" s="30" t="str">
        <x:v>API联系方式已获取</x:v>
      </x:c>
      <x:c r="B14" s="30" t="str">
        <x:v>高-欧美</x:v>
      </x:c>
      <x:c r="C14" s="30" t="str">
        <x:v>刷子</x:v>
      </x:c>
      <x:c r="D14" s="31" t="str">
        <x:v>8708360</x:v>
      </x:c>
      <x:c r="E14" s="30" t="str">
        <x:v>dollar tree disiribution inc.</x:v>
      </x:c>
      <x:c r="F14" s="30" t="str">
        <x:v>美国</x:v>
      </x:c>
      <x:c r="G14" s="30" t="str">
        <x:v>erobb@dollartree.com</x:v>
      </x:c>
      <x:c r="H14" s="30" t="str">
        <x:f>IF(ISNUMBER(SEARCH(":1",AC14)),"已验证有效",IF(ISNUMBER(SEARCH(":3",AC14)),"验证不确定",IF(ISNUMBER(SEARCH(":0",AC14)),"接口未能检测",IF(ISNUMBER(SEARCH(":2",AC14)),"判定无效",IF(V14&lt;&gt;"","官网已确认-未验证","无邮箱")))))</x:f>
        <x:v>接口未能检测</x:v>
      </x:c>
      <x:c r="I14" s="30" t="str">
        <x:v>+1 757-321-5000</x:v>
      </x:c>
      <x:c r="J14" s="30" t="str">
        <x:v>http://www.dollartree.com</x:v>
      </x:c>
      <x:c r="K14" s="35" t="n">
        <x:f>ROUND((IF(H14="已验证有效",40,IF(V14&lt;&gt;"",20,0))+IF(ISNUMBER(SEARCH("状态1",Y14)),25,0)+IF(J14&lt;&gt;"",20,0)+IF(AA14&lt;&gt;"",15,0))/100,2)</x:f>
        <x:v>0.45</x:v>
      </x:c>
      <x:c r="L14" s="30" t="str">
        <x:v>待联系</x:v>
      </x:c>
      <x:c r="M14" s="30" t="str"/>
      <x:c r="N14" s="30" t="str">
        <x:v>500 volvo parkway, chesapeake, va 23320</x:v>
      </x:c>
      <x:c r="O14" s="30" t="str"/>
      <x:c r="P14" s="30" t="str">
        <x:v>毛巾、、餐具叉、、透明碗、、拖把、洗碗布、洗碗布、餐具、袜子</x:v>
      </x:c>
      <x:c r="Q14" s="32" t="n">
        <x:v>633</x:v>
      </x:c>
      <x:c r="R14" s="32" t="n">
        <x:v>127455</x:v>
      </x:c>
      <x:c r="S14" s="33" t="n">
        <x:v>0.005</x:v>
      </x:c>
      <x:c r="T14" s="34" t="n">
        <x:v>46147.666666666664</x:v>
      </x:c>
      <x:c r="U14" s="30" t="str">
        <x:v>erobb@dollartree.com; jjones@dollartree.com; skaufman@dollartree.com</x:v>
      </x:c>
      <x:c r="V14" s="30" t="str"/>
      <x:c r="W14" s="30" t="str">
        <x:v>+1 757-321-5000</x:v>
      </x:c>
      <x:c r="X14" s="30" t="str"/>
      <x:c r="Y14" s="30" t="str">
        <x:v>+1 757-321-5000:状态1/类型3/WhatsApp2</x:v>
      </x:c>
      <x:c r="Z14" s="30" t="str"/>
      <x:c r="AA14" s="30" t="str"/>
      <x:c r="AB14" s="30" t="str"/>
      <x:c r="AC14" s="30" t="str">
        <x:v>erobb@dollartree.com:0; jjones@dollartree.com:0; skaufman@dollartree.com:0</x:v>
      </x:c>
      <x:c r="AD14" s="30" t="str"/>
      <x:c r="AE14" s="30" t="str">
        <x:v>claw clip；storage；brush holder；tool box；flower；pc</x:v>
      </x:c>
      <x:c r="AF14" s="30" t="str">
        <x:v>FLOWER &amp; BRUSH HOLDER,STORAGE,CLAW CLIP,TOOL BOX,ETC =32036 SET/PCS</x:v>
      </x:c>
      <x:c r="AG14" s="30" t="str"/>
      <x:c r="AH14" s="30" t="str"/>
      <x:c r="AI14" s="30" t="str"/>
      <x:c r="AJ14" s="30" t="str">
        <x:v>刷子</x:v>
      </x:c>
      <x:c r="AK14" s="30" t="str">
        <x:v>expansion-search-brush-page-01</x:v>
      </x:c>
      <x:c r="AL14" s="30" t="str">
        <x:v>UpKuajing customs company contact API</x:v>
      </x:c>
      <x:c r="AM14" s="30" t="str"/>
      <x:c r="AN14" s="30" t="str"/>
      <x:c r="AO14" s="34" t="n">
        <x:v>46220</x:v>
      </x:c>
    </x:row>
    <x:row r="15" ht="44" customHeight="1">
      <x:c r="A15" s="30" t="str">
        <x:v>API联系方式已获取</x:v>
      </x:c>
      <x:c r="B15" s="30" t="str">
        <x:v>高-欧美</x:v>
      </x:c>
      <x:c r="C15" s="30" t="str">
        <x:v>刷子</x:v>
      </x:c>
      <x:c r="D15" s="31" t="str">
        <x:v>20441336</x:v>
      </x:c>
      <x:c r="E15" s="30" t="str">
        <x:v>PARIS PRESENTS INCORPORATED</x:v>
      </x:c>
      <x:c r="F15" s="30" t="str">
        <x:v>美国</x:v>
      </x:c>
      <x:c r="G15" s="30" t="str">
        <x:v>cpulice@ppibeauty.com</x:v>
      </x:c>
      <x:c r="H15" s="30" t="str">
        <x:f>IF(ISNUMBER(SEARCH(":1",AC15)),"已验证有效",IF(ISNUMBER(SEARCH(":3",AC15)),"验证不确定",IF(ISNUMBER(SEARCH(":0",AC15)),"接口未能检测",IF(ISNUMBER(SEARCH(":2",AC15)),"判定无效",IF(V15&lt;&gt;"","官网已确认-未验证","无邮箱")))))</x:f>
        <x:v>已验证有效</x:v>
      </x:c>
      <x:c r="I15" s="30" t="str"/>
      <x:c r="J15" s="30" t="str">
        <x:v>parispresents.com</x:v>
      </x:c>
      <x:c r="K15" s="35" t="n">
        <x:f>ROUND((IF(H15="已验证有效",40,IF(V15&lt;&gt;"",20,0))+IF(ISNUMBER(SEARCH("状态1",Y15)),25,0)+IF(J15&lt;&gt;"",20,0)+IF(AA15&lt;&gt;"",15,0))/100,2)</x:f>
        <x:v>0.75</x:v>
      </x:c>
      <x:c r="L15" s="30" t="str">
        <x:v>待联系</x:v>
      </x:c>
      <x:c r="M15" s="30" t="str"/>
      <x:c r="N15" s="30" t="str">
        <x:v>chicago, illinois, united states 1950 innovation parkway suite 100</x:v>
      </x:c>
      <x:c r="O15" s="30" t="str"/>
      <x:c r="P15" s="30" t="str">
        <x:v>暂无经营范围信息</x:v>
      </x:c>
      <x:c r="Q15" s="32" t="n">
        <x:v>172</x:v>
      </x:c>
      <x:c r="R15" s="32" t="n">
        <x:v>1043</x:v>
      </x:c>
      <x:c r="S15" s="33" t="n">
        <x:v>0.1649</x:v>
      </x:c>
      <x:c r="T15" s="34" t="n">
        <x:v>45989.666666666664</x:v>
      </x:c>
      <x:c r="U15" s="30" t="str">
        <x:v>cpulice@ppibeauty.com; u003ecpulice@ppibeauty.com</x:v>
      </x:c>
      <x:c r="V15" s="30" t="str"/>
      <x:c r="W15" s="30" t="str"/>
      <x:c r="X15" s="30" t="str"/>
      <x:c r="Y15" s="30" t="str"/>
      <x:c r="Z15" s="30" t="str"/>
      <x:c r="AA15" s="30" t="str">
        <x:v>https://www.facebook.com/realtechniques; https://www.linkedin.com/company/paris-presents; https://www.youtube.com/user/realtechniques</x:v>
      </x:c>
      <x:c r="AB15" s="30" t="str"/>
      <x:c r="AC15" s="30" t="str">
        <x:v>cpulice@ppibeauty.com:1; u003ecpulice@ppibeauty.com:0</x:v>
      </x:c>
      <x:c r="AD15" s="30" t="str"/>
      <x:c r="AE15" s="30" t="str"/>
      <x:c r="AF15" s="30" t="str">
        <x:v>DAILY BRUSH CLEANER HTS #: SHIPPER STATES THAT THIS SHIPMENT CONTAINS NO WOOD PACKAGING MATERIAL FRENCH PINK CLAY MASK HTS #: TOMATO + CHAR CLEARING MASK HTS #: </x:v>
      </x:c>
      <x:c r="AG15" s="30" t="str"/>
      <x:c r="AH15" s="30" t="str"/>
      <x:c r="AI15" s="30" t="str"/>
      <x:c r="AJ15" s="30" t="str">
        <x:v>刷子</x:v>
      </x:c>
      <x:c r="AK15" s="30" t="str">
        <x:v>expansion-search-brush-page-06</x:v>
      </x:c>
      <x:c r="AL15" s="30" t="str">
        <x:v>UpKuajing customs company contact API</x:v>
      </x:c>
      <x:c r="AM15" s="30" t="str"/>
      <x:c r="AN15" s="30" t="str"/>
      <x:c r="AO15" s="34" t="n">
        <x:v>46220</x:v>
      </x:c>
    </x:row>
    <x:row r="16" ht="44" customHeight="1">
      <x:c r="A16" s="30" t="str">
        <x:v>API联系方式已获取</x:v>
      </x:c>
      <x:c r="B16" s="30" t="str">
        <x:v>高-欧美</x:v>
      </x:c>
      <x:c r="C16" s="30" t="str">
        <x:v>遮蔽膜</x:v>
      </x:c>
      <x:c r="D16" s="31" t="str">
        <x:v>71462461</x:v>
      </x:c>
      <x:c r="E16" s="30" t="str">
        <x:v>POLI-FILM AMERICA INC.</x:v>
      </x:c>
      <x:c r="F16" s="30" t="str">
        <x:v>英国</x:v>
      </x:c>
      <x:c r="G16" s="30" t="str">
        <x:v>echrisman@polifilm.us</x:v>
      </x:c>
      <x:c r="H16" s="30" t="str">
        <x:f>IF(ISNUMBER(SEARCH(":1",AC16)),"已验证有效",IF(ISNUMBER(SEARCH(":3",AC16)),"验证不确定",IF(ISNUMBER(SEARCH(":0",AC16)),"接口未能检测",IF(ISNUMBER(SEARCH(":2",AC16)),"判定无效",IF(V16&lt;&gt;"","官网已确认-未验证","无邮箱")))))</x:f>
        <x:v>已验证有效</x:v>
      </x:c>
      <x:c r="I16" s="30" t="str"/>
      <x:c r="J16" s="30" t="str"/>
      <x:c r="K16" s="35" t="n">
        <x:f>ROUND((IF(H16="已验证有效",40,IF(V16&lt;&gt;"",20,0))+IF(ISNUMBER(SEARCH("状态1",Y16)),25,0)+IF(J16&lt;&gt;"",20,0)+IF(AA16&lt;&gt;"",15,0))/100,2)</x:f>
        <x:v>0.4</x:v>
      </x:c>
      <x:c r="L16" s="30" t="str">
        <x:v>待联系</x:v>
      </x:c>
      <x:c r="M16" s="30" t="str"/>
      <x:c r="N16" s="30" t="str">
        <x:v>Hampshire, Illinois</x:v>
      </x:c>
      <x:c r="O16" s="30" t="str"/>
      <x:c r="P16" s="30" t="str">
        <x:v>暂无经营范围信息</x:v>
      </x:c>
      <x:c r="Q16" s="32" t="n">
        <x:v>153</x:v>
      </x:c>
      <x:c r="R16" s="32" t="n">
        <x:v>839</x:v>
      </x:c>
      <x:c r="S16" s="33" t="n">
        <x:v>0.18239999999999998</x:v>
      </x:c>
      <x:c r="T16" s="34" t="n">
        <x:v>46211.666666666664</x:v>
      </x:c>
      <x:c r="U16" s="30" t="str">
        <x:v>echrisman@polifilm.us</x:v>
      </x:c>
      <x:c r="V16" s="30" t="str"/>
      <x:c r="W16" s="30" t="str"/>
      <x:c r="X16" s="30" t="str"/>
      <x:c r="Y16" s="30" t="str"/>
      <x:c r="Z16" s="30" t="str"/>
      <x:c r="AA16" s="30" t="str"/>
      <x:c r="AB16" s="30" t="str"/>
      <x:c r="AC16" s="30" t="str">
        <x:v>echrisman@polifilm.us:1</x:v>
      </x:c>
      <x:c r="AD16" s="30" t="str"/>
      <x:c r="AE16" s="30" t="str"/>
      <x:c r="AF16" s="30" t="str">
        <x:v>168 ROLLS OF POLYETHYLENE MASKING FILM (HS#39 20.10)P ACKED ONTO 28 PALLETS REF #103354 IR S NUMBER:36-3437 757</x:v>
      </x:c>
      <x:c r="AG16" s="30" t="str"/>
      <x:c r="AH16" s="30" t="str"/>
      <x:c r="AI16" s="30" t="str"/>
      <x:c r="AJ16" s="30" t="str">
        <x:v>遮蔽膜</x:v>
      </x:c>
      <x:c r="AK16" s="30" t="str">
        <x:v>masking-film-buyers-exact-search</x:v>
      </x:c>
      <x:c r="AL16" s="30" t="str">
        <x:v>UpKuajing customs company contact API</x:v>
      </x:c>
      <x:c r="AM16" s="30" t="str"/>
      <x:c r="AN16" s="30" t="str"/>
      <x:c r="AO16" s="34" t="n">
        <x:v>46220</x:v>
      </x:c>
    </x:row>
    <x:row r="17" ht="44" customHeight="1">
      <x:c r="A17" s="30" t="str">
        <x:v>API联系方式已获取</x:v>
      </x:c>
      <x:c r="B17" s="30" t="str">
        <x:v>高-欧美</x:v>
      </x:c>
      <x:c r="C17" s="30" t="str">
        <x:v>塑料桶</x:v>
      </x:c>
      <x:c r="D17" s="31" t="str">
        <x:v>10840728</x:v>
      </x:c>
      <x:c r="E17" s="30" t="str">
        <x:v>white sands inc.</x:v>
      </x:c>
      <x:c r="F17" s="30" t="str">
        <x:v>美国</x:v>
      </x:c>
      <x:c r="G17" s="30" t="str">
        <x:v>barky16@hotmail.com</x:v>
      </x:c>
      <x:c r="H17" s="30" t="str">
        <x:f>IF(ISNUMBER(SEARCH(":1",AC17)),"已验证有效",IF(ISNUMBER(SEARCH(":3",AC17)),"验证不确定",IF(ISNUMBER(SEARCH(":0",AC17)),"接口未能检测",IF(ISNUMBER(SEARCH(":2",AC17)),"判定无效",IF(V17&lt;&gt;"","官网已确认-未验证","无邮箱")))))</x:f>
        <x:v>已验证有效</x:v>
      </x:c>
      <x:c r="I17" s="30" t="str">
        <x:v>+1 714-343-6050</x:v>
      </x:c>
      <x:c r="J17" s="30" t="str"/>
      <x:c r="K17" s="35" t="n">
        <x:f>ROUND((IF(H17="已验证有效",40,IF(V17&lt;&gt;"",20,0))+IF(ISNUMBER(SEARCH("状态1",Y17)),25,0)+IF(J17&lt;&gt;"",20,0)+IF(AA17&lt;&gt;"",15,0))/100,2)</x:f>
        <x:v>0.65</x:v>
      </x:c>
      <x:c r="L17" s="30" t="str">
        <x:v>待联系</x:v>
      </x:c>
      <x:c r="M17" s="30" t="str"/>
      <x:c r="N17" s="30" t="str">
        <x:v>13442 white sand drive tustin ca</x:v>
      </x:c>
      <x:c r="O17" s="30" t="str"/>
      <x:c r="P17" s="30" t="str">
        <x:v>溶胶、木材、摇篮、载体、冲浪板、二手游艇、、包装材料</x:v>
      </x:c>
      <x:c r="Q17" s="32" t="n">
        <x:v>121</x:v>
      </x:c>
      <x:c r="R17" s="32" t="n">
        <x:v>504</x:v>
      </x:c>
      <x:c r="S17" s="33" t="n">
        <x:v>0.2401</x:v>
      </x:c>
      <x:c r="T17" s="34" t="n">
        <x:v>45946.666666666664</x:v>
      </x:c>
      <x:c r="U17" s="30" t="str">
        <x:v>barky16@hotmail.com</x:v>
      </x:c>
      <x:c r="V17" s="30" t="str"/>
      <x:c r="W17" s="30" t="str">
        <x:v>+1 714-343-6050</x:v>
      </x:c>
      <x:c r="X17" s="30" t="str"/>
      <x:c r="Y17" s="30" t="str">
        <x:v>+1 714-343-6050:状态1/类型3/WhatsApp1</x:v>
      </x:c>
      <x:c r="Z17" s="30" t="str">
        <x:v>+1 714-343-6050</x:v>
      </x:c>
      <x:c r="AA17" s="30" t="str"/>
      <x:c r="AB17" s="30" t="str"/>
      <x:c r="AC17" s="30" t="str">
        <x:v>barky16@hotmail.com:1</x:v>
      </x:c>
      <x:c r="AD17" s="30" t="str">
        <x:v>塑料桶</x:v>
      </x:c>
      <x:c r="AE17" s="30" t="str">
        <x:v>塑料桶；orange；塑料；Bucket；Orange</x:v>
      </x:c>
      <x:c r="AF17" s="30" t="str">
        <x:v>PLASTIC BUCKET- GAL ORANGE&lt;br/&gt;; PLASTIC BUCKET- GAL ORANGE PALLETS CONTAINNING CARTONS STO PO FINAL SHIP TO ADDRESS IMS FASTPACK TH PLEACEKENOSHA WISCONSIN&lt;br/&gt;PLASTIC BUCKET- GAL ORANGE PALLETS CONTAINNING CARTONS&lt;br/&gt;</x:v>
      </x:c>
      <x:c r="AG17" s="30" t="str">
        <x:v>塑料桶；Plastic container；Plastic tub；Plastic can；Plastic bin</x:v>
      </x:c>
      <x:c r="AH17" s="30" t="str">
        <x:v>塑料树脂；石油；化学添加剂；Plastic polymers；Plastic raw materials</x:v>
      </x:c>
      <x:c r="AI17" s="30" t="str">
        <x:v>Home storage；Industrial storage；Agricultural storage；Construction storage；Warehouse storage</x:v>
      </x:c>
      <x:c r="AJ17" s="30" t="str">
        <x:v>塑料桶</x:v>
      </x:c>
      <x:c r="AK17" s="30" t="str">
        <x:v>expansion-search-plastic-bucket-page-01; expansion-search-plastic-pail-page-01</x:v>
      </x:c>
      <x:c r="AL17" s="30" t="str">
        <x:v>UpKuajing customs company contact API</x:v>
      </x:c>
      <x:c r="AM17" s="30" t="str"/>
      <x:c r="AN17" s="30" t="str"/>
      <x:c r="AO17" s="34" t="n">
        <x:v>46220</x:v>
      </x:c>
    </x:row>
    <x:row r="18" ht="44" customHeight="1">
      <x:c r="A18" s="30" t="str">
        <x:v>API联系方式已获取</x:v>
      </x:c>
      <x:c r="B18" s="30" t="str">
        <x:v>高-欧美</x:v>
      </x:c>
      <x:c r="C18" s="30" t="str">
        <x:v>油漆刷</x:v>
      </x:c>
      <x:c r="D18" s="31" t="str">
        <x:v>71397816</x:v>
      </x:c>
      <x:c r="E18" s="30" t="str">
        <x:v>DOLLARAMA L.P.</x:v>
      </x:c>
      <x:c r="F18" s="30" t="str">
        <x:v>加拿大</x:v>
      </x:c>
      <x:c r="G18" s="30" t="str">
        <x:v>traffic@dollarama.com</x:v>
      </x:c>
      <x:c r="H18" s="30" t="str">
        <x:f>IF(ISNUMBER(SEARCH(":1",AC18)),"已验证有效",IF(ISNUMBER(SEARCH(":3",AC18)),"验证不确定",IF(ISNUMBER(SEARCH(":0",AC18)),"接口未能检测",IF(ISNUMBER(SEARCH(":2",AC18)),"判定无效",IF(V18&lt;&gt;"","官网已确认-未验证","无邮箱")))))</x:f>
        <x:v>接口未能检测</x:v>
      </x:c>
      <x:c r="I18" s="30" t="str">
        <x:v>+1 514-737-1006</x:v>
      </x:c>
      <x:c r="J18" s="30" t="str"/>
      <x:c r="K18" s="35" t="n">
        <x:f>ROUND((IF(H18="已验证有效",40,IF(V18&lt;&gt;"",20,0))+IF(ISNUMBER(SEARCH("状态1",Y18)),25,0)+IF(J18&lt;&gt;"",20,0)+IF(AA18&lt;&gt;"",15,0))/100,2)</x:f>
        <x:v>0.25</x:v>
      </x:c>
      <x:c r="L18" s="30" t="str">
        <x:v>待联系</x:v>
      </x:c>
      <x:c r="M18" s="30" t="str"/>
      <x:c r="N18" s="30" t="str">
        <x:v>Mont-Royal, Canada</x:v>
      </x:c>
      <x:c r="O18" s="30" t="str"/>
      <x:c r="P18" s="30" t="str">
        <x:v>暂无经营范围信息</x:v>
      </x:c>
      <x:c r="Q18" s="32" t="n">
        <x:v>94</x:v>
      </x:c>
      <x:c r="R18" s="32" t="n">
        <x:v>43997</x:v>
      </x:c>
      <x:c r="S18" s="33" t="n">
        <x:v>0.0021</x:v>
      </x:c>
      <x:c r="T18" s="34" t="n">
        <x:v>46198.666666666664</x:v>
      </x:c>
      <x:c r="U18" s="30" t="str">
        <x:v>traffic@dollarama.com</x:v>
      </x:c>
      <x:c r="V18" s="30" t="str"/>
      <x:c r="W18" s="30" t="str">
        <x:v>+1 514-737-1006; 5147317755; 5147371006; 9058033400</x:v>
      </x:c>
      <x:c r="X18" s="30" t="str"/>
      <x:c r="Y18" s="30" t="str">
        <x:v>+1 514-737-1006:状态1/类型3/WhatsApp2; 5147317755:状态2/类型0/WhatsApp0; 5147371006:状态2/类型0/WhatsApp0; 9058033400:状态2/类型0/WhatsApp0</x:v>
      </x:c>
      <x:c r="Z18" s="30" t="str"/>
      <x:c r="AA18" s="30" t="str"/>
      <x:c r="AB18" s="30" t="str"/>
      <x:c r="AC18" s="30" t="str">
        <x:v>traffic@dollarama.com:0</x:v>
      </x:c>
      <x:c r="AD18" s="30" t="str"/>
      <x:c r="AE18" s="30" t="str"/>
      <x:c r="AF18" s="30" t="str">
        <x:v>PURE SILK CUTICLE NIPPER 5915 CARTON 2" PAINT BRUSH POLYESTER BRISTLE RED LAQUER HANDLE W/GOLD E 10PK QUICK DRY PAINT STICKS</x:v>
      </x:c>
      <x:c r="AG18" s="30" t="str"/>
      <x:c r="AH18" s="30" t="str"/>
      <x:c r="AI18" s="30" t="str"/>
      <x:c r="AJ18" s="30" t="str">
        <x:v>油漆刷</x:v>
      </x:c>
      <x:c r="AK18" s="30" t="str">
        <x:v>expansion-search-paint-brush-page-01</x:v>
      </x:c>
      <x:c r="AL18" s="30" t="str">
        <x:v>UpKuajing customs company contact API</x:v>
      </x:c>
      <x:c r="AM18" s="30" t="str"/>
      <x:c r="AN18" s="30" t="str"/>
      <x:c r="AO18" s="34" t="n">
        <x:v>46220</x:v>
      </x:c>
    </x:row>
    <x:row r="19" ht="44" customHeight="1">
      <x:c r="A19" s="30" t="str">
        <x:v>API联系方式已获取</x:v>
      </x:c>
      <x:c r="B19" s="30" t="str">
        <x:v>高-欧美</x:v>
      </x:c>
      <x:c r="C19" s="30" t="str">
        <x:v>塑料桶</x:v>
      </x:c>
      <x:c r="D19" s="31" t="str">
        <x:v>226023</x:v>
      </x:c>
      <x:c r="E19" s="30" t="str">
        <x:v>paramount global inc.</x:v>
      </x:c>
      <x:c r="F19" s="30" t="str">
        <x:v>美国</x:v>
      </x:c>
      <x:c r="G19" s="30" t="str">
        <x:v>info@paramountgs.com</x:v>
      </x:c>
      <x:c r="H19" s="30" t="str">
        <x:f>IF(ISNUMBER(SEARCH(":1",AC19)),"已验证有效",IF(ISNUMBER(SEARCH(":3",AC19)),"验证不确定",IF(ISNUMBER(SEARCH(":0",AC19)),"接口未能检测",IF(ISNUMBER(SEARCH(":2",AC19)),"判定无效",IF(V19&lt;&gt;"","官网已确认-未验证","无邮箱")))))</x:f>
        <x:v>已验证有效</x:v>
      </x:c>
      <x:c r="I19" s="30" t="str">
        <x:v>+1 937-428-6669</x:v>
      </x:c>
      <x:c r="J19" s="30" t="str">
        <x:v>http://www.paramountgs.com/</x:v>
      </x:c>
      <x:c r="K19" s="35" t="n">
        <x:f>ROUND((IF(H19="已验证有效",40,IF(V19&lt;&gt;"",20,0))+IF(ISNUMBER(SEARCH("状态1",Y19)),25,0)+IF(J19&lt;&gt;"",20,0)+IF(AA19&lt;&gt;"",15,0))/100,2)</x:f>
        <x:v>0.85</x:v>
      </x:c>
      <x:c r="L19" s="30" t="str">
        <x:v>待联系</x:v>
      </x:c>
      <x:c r="M19" s="30" t="str"/>
      <x:c r="N19" s="30" t="str">
        <x:v>yankee office park, 1458 yankee park pl,dayton oh 45458</x:v>
      </x:c>
      <x:c r="O19" s="30" t="str"/>
      <x:c r="P19" s="30" t="str">
        <x:v>6盎司，肋，触发喷雾器，霜，卡拉查纳，果壳，香料罐，包装材料，瓶子，滴管，钻石，非医疗，铁盒，瓶子，罐子宠物，福马，喷雾</x:v>
      </x:c>
      <x:c r="Q19" s="32" t="n">
        <x:v>90</x:v>
      </x:c>
      <x:c r="R19" s="32" t="n">
        <x:v>2063</x:v>
      </x:c>
      <x:c r="S19" s="33" t="n">
        <x:v>0.0436</x:v>
      </x:c>
      <x:c r="T19" s="34" t="n">
        <x:v>45911.666666666664</x:v>
      </x:c>
      <x:c r="U19" s="30" t="str">
        <x:v>info@paramountgs.com</x:v>
      </x:c>
      <x:c r="V19" s="30" t="str"/>
      <x:c r="W19" s="30" t="str">
        <x:v>+1 937-428-6669</x:v>
      </x:c>
      <x:c r="X19" s="30" t="str"/>
      <x:c r="Y19" s="30" t="str">
        <x:v>+1 937-428-6669:状态1/类型3/WhatsApp2</x:v>
      </x:c>
      <x:c r="Z19" s="30" t="str"/>
      <x:c r="AA19" s="30" t="str"/>
      <x:c r="AB19" s="30" t="str"/>
      <x:c r="AC19" s="30" t="str">
        <x:v>info@paramountgs.com:1</x:v>
      </x:c>
      <x:c r="AD19" s="30" t="str">
        <x:v>塑料桶</x:v>
      </x:c>
      <x:c r="AE19" s="30" t="str">
        <x:v>塑料；Bucket；8OZ</x:v>
      </x:c>
      <x:c r="AF19" s="30" t="str">
        <x:v>Hũ nhựa 8OZ - (Mới 100%) #&amp;VN</x:v>
      </x:c>
      <x:c r="AG19" s="30" t="str">
        <x:v>塑料桶；Plastic Tub；Plastic Can；Plastic Bin；Plastic Vessel</x:v>
      </x:c>
      <x:c r="AH19" s="30" t="str">
        <x:v>塑料树脂；Petrochemicals；聚合物；添加剂；增塑剂</x:v>
      </x:c>
      <x:c r="AI19" s="30" t="str">
        <x:v>Food Storage；Liquid Storage；Tool Storage；Chemical Storage；Agricultural Use</x:v>
      </x:c>
      <x:c r="AJ19" s="30" t="str">
        <x:v>塑料桶</x:v>
      </x:c>
      <x:c r="AK19" s="30" t="str">
        <x:v>expansion-search-plastic-bucket-page-01; expansion-search-plastic-pail-page-01; expansion-search-plastic-pail-page-02; expansion-search-plastic-pail-page-03</x:v>
      </x:c>
      <x:c r="AL19" s="30" t="str">
        <x:v>UpKuajing customs company contact API</x:v>
      </x:c>
      <x:c r="AM19" s="30" t="str"/>
      <x:c r="AN19" s="30" t="str"/>
      <x:c r="AO19" s="34" t="n">
        <x:v>46220</x:v>
      </x:c>
    </x:row>
    <x:row r="20" ht="44" customHeight="1">
      <x:c r="A20" s="30" t="str">
        <x:v>API联系方式已获取</x:v>
      </x:c>
      <x:c r="B20" s="30" t="str">
        <x:v>高-欧美</x:v>
      </x:c>
      <x:c r="C20" s="30" t="str">
        <x:v>塑料桶</x:v>
      </x:c>
      <x:c r="D20" s="31" t="str">
        <x:v>71471150</x:v>
      </x:c>
      <x:c r="E20" s="30" t="str">
        <x:v>ROSE CONTAINERLINE, INC.</x:v>
      </x:c>
      <x:c r="F20" s="30" t="str">
        <x:v>美国</x:v>
      </x:c>
      <x:c r="G20" s="30" t="str">
        <x:v>imports@shiprose.com</x:v>
      </x:c>
      <x:c r="H20" s="30" t="str">
        <x:f>IF(ISNUMBER(SEARCH(":1",AC20)),"已验证有效",IF(ISNUMBER(SEARCH(":3",AC20)),"验证不确定",IF(ISNUMBER(SEARCH(":0",AC20)),"接口未能检测",IF(ISNUMBER(SEARCH(":2",AC20)),"判定无效",IF(V20&lt;&gt;"","官网已确认-未验证","无邮箱")))))</x:f>
        <x:v>接口未能检测</x:v>
      </x:c>
      <x:c r="I20" s="30" t="str">
        <x:v>+1 212-966-0084</x:v>
      </x:c>
      <x:c r="J20" s="30" t="str"/>
      <x:c r="K20" s="35" t="n">
        <x:f>ROUND((IF(H20="已验证有效",40,IF(V20&lt;&gt;"",20,0))+IF(ISNUMBER(SEARCH("状态1",Y20)),25,0)+IF(J20&lt;&gt;"",20,0)+IF(AA20&lt;&gt;"",15,0))/100,2)</x:f>
        <x:v>0.25</x:v>
      </x:c>
      <x:c r="L20" s="30" t="str">
        <x:v>待联系</x:v>
      </x:c>
      <x:c r="M20" s="30" t="str"/>
      <x:c r="N20" s="30" t="str">
        <x:v>New York City, New York</x:v>
      </x:c>
      <x:c r="O20" s="30" t="str"/>
      <x:c r="P20" s="30" t="str">
        <x:v>暂无经营范围信息</x:v>
      </x:c>
      <x:c r="Q20" s="32" t="n">
        <x:v>73</x:v>
      </x:c>
      <x:c r="R20" s="32" t="n">
        <x:v>6662</x:v>
      </x:c>
      <x:c r="S20" s="33" t="n">
        <x:v>0.011000000000000001</x:v>
      </x:c>
      <x:c r="T20" s="34" t="n">
        <x:v>45990.666666666664</x:v>
      </x:c>
      <x:c r="U20" s="30" t="str">
        <x:v>imports@shiprose.com</x:v>
      </x:c>
      <x:c r="V20" s="30" t="str"/>
      <x:c r="W20" s="30" t="str">
        <x:v>0012129660084; 0016464176968; +1 212-966-0084; 2129660084; 6464176864</x:v>
      </x:c>
      <x:c r="X20" s="30" t="str"/>
      <x:c r="Y20" s="30" t="str">
        <x:v>0012129660084:状态2/类型0/WhatsApp0; 0016464176968:状态2/类型0/WhatsApp0; +1 212-966-0084:状态1/类型3/WhatsApp2; 2129660084:状态2/类型0/WhatsApp0; 6464176864:状态2/类型0/WhatsApp0</x:v>
      </x:c>
      <x:c r="Z20" s="30" t="str"/>
      <x:c r="AA20" s="30" t="str"/>
      <x:c r="AB20" s="30" t="str"/>
      <x:c r="AC20" s="30" t="str">
        <x:v>imports@shiprose.com:0</x:v>
      </x:c>
      <x:c r="AD20" s="30" t="str">
        <x:v>塑料桶</x:v>
      </x:c>
      <x:c r="AE20" s="30" t="str">
        <x:v>塑料；Bucket</x:v>
      </x:c>
      <x:c r="AF20" s="30" t="str">
        <x:v>PACKAGES LOADED WITH PLASTIC BUCKETS HS C ODE</x:v>
      </x:c>
      <x:c r="AG20" s="30" t="str">
        <x:v>塑料桶；Plastic container；Plastic tub；Plastic can；Plastic bin</x:v>
      </x:c>
      <x:c r="AH20" s="30" t="str">
        <x:v>塑料树脂；Petrochemicals；添加剂；Colorants；Fillers</x:v>
      </x:c>
      <x:c r="AI20" s="30" t="str">
        <x:v>Home storage；Industrial storage；Agricultural use；Construction use；Food storage</x:v>
      </x:c>
      <x:c r="AJ20" s="30" t="str">
        <x:v>塑料桶</x:v>
      </x:c>
      <x:c r="AK20" s="30" t="str">
        <x:v>expansion-search-plastic-pail-page-01</x:v>
      </x:c>
      <x:c r="AL20" s="30" t="str">
        <x:v>UpKuajing customs company contact API</x:v>
      </x:c>
      <x:c r="AM20" s="30" t="str"/>
      <x:c r="AN20" s="30" t="str"/>
      <x:c r="AO20" s="34" t="n">
        <x:v>46220</x:v>
      </x:c>
    </x:row>
    <x:row r="21" ht="44" customHeight="1">
      <x:c r="A21" s="30" t="str">
        <x:v>API联系方式已获取</x:v>
      </x:c>
      <x:c r="B21" s="30" t="str">
        <x:v>高-欧美</x:v>
      </x:c>
      <x:c r="C21" s="30" t="str">
        <x:v>油漆刷</x:v>
      </x:c>
      <x:c r="D21" s="31" t="str">
        <x:v>581049</x:v>
      </x:c>
      <x:c r="E21" s="30" t="str">
        <x:v>royal hardwar</x:v>
      </x:c>
      <x:c r="F21" s="30" t="str">
        <x:v>美国</x:v>
      </x:c>
      <x:c r="G21" s="30" t="str">
        <x:v>sales@royalhardware.com</x:v>
      </x:c>
      <x:c r="H21" s="30" t="str">
        <x:f>IF(ISNUMBER(SEARCH(":1",AC21)),"已验证有效",IF(ISNUMBER(SEARCH(":3",AC21)),"验证不确定",IF(ISNUMBER(SEARCH(":0",AC21)),"接口未能检测",IF(ISNUMBER(SEARCH(":2",AC21)),"判定无效",IF(V21&lt;&gt;"","官网已确认-未验证","无邮箱")))))</x:f>
        <x:v>接口未能检测</x:v>
      </x:c>
      <x:c r="I21" s="30" t="str">
        <x:v>+1 847-487-5100</x:v>
      </x:c>
      <x:c r="J21" s="30" t="str">
        <x:v>http://royalhardware.com/</x:v>
      </x:c>
      <x:c r="K21" s="35" t="n">
        <x:f>ROUND((IF(H21="已验证有效",40,IF(V21&lt;&gt;"",20,0))+IF(ISNUMBER(SEARCH("状态1",Y21)),25,0)+IF(J21&lt;&gt;"",20,0)+IF(AA21&lt;&gt;"",15,0))/100,2)</x:f>
        <x:v>0.45</x:v>
      </x:c>
      <x:c r="L21" s="30" t="str">
        <x:v>待联系</x:v>
      </x:c>
      <x:c r="M21" s="30" t="str"/>
      <x:c r="N21" s="30" t="str"/>
      <x:c r="O21" s="30" t="str"/>
      <x:c r="P21" s="30" t="str">
        <x:v>木材，盖子，包装材料，抽屉滑轨，2个抽屉，用于冰箱，实木包装，抽屉滑轨，材料，抽屉</x:v>
      </x:c>
      <x:c r="Q21" s="32" t="n">
        <x:v>68</x:v>
      </x:c>
      <x:c r="R21" s="32" t="n">
        <x:v>4388</x:v>
      </x:c>
      <x:c r="S21" s="33" t="n">
        <x:v>0.0155</x:v>
      </x:c>
      <x:c r="T21" s="34" t="n">
        <x:v>46039.666666666664</x:v>
      </x:c>
      <x:c r="U21" s="30" t="str">
        <x:v>sales@royalhardware.com</x:v>
      </x:c>
      <x:c r="V21" s="30" t="str"/>
      <x:c r="W21" s="30" t="str">
        <x:v>+1 847-487-5100; 866301998; 8663019986</x:v>
      </x:c>
      <x:c r="X21" s="30" t="str"/>
      <x:c r="Y21" s="30" t="str">
        <x:v>+1 847-487-5100:状态1/类型3/WhatsApp2; 866301998:状态2/类型0/WhatsApp2; 8663019986:状态2/类型0/WhatsApp2</x:v>
      </x:c>
      <x:c r="Z21" s="30" t="str"/>
      <x:c r="AA21" s="30" t="str"/>
      <x:c r="AB21" s="30" t="str"/>
      <x:c r="AC21" s="30" t="str">
        <x:v>sales@royalhardware.com:0</x:v>
      </x:c>
      <x:c r="AD21" s="30" t="str"/>
      <x:c r="AE21" s="30" t="str">
        <x:v>3m；油漆刷</x:v>
      </x:c>
      <x:c r="AF21" s="30" t="str">
        <x:v>M 555 PAINT BRUSH 63MM</x:v>
      </x:c>
      <x:c r="AG21" s="30" t="str"/>
      <x:c r="AH21" s="30" t="str"/>
      <x:c r="AI21" s="30" t="str"/>
      <x:c r="AJ21" s="30" t="str">
        <x:v>油漆刷</x:v>
      </x:c>
      <x:c r="AK21" s="30" t="str">
        <x:v>expansion-search-paint-brush-page-01</x:v>
      </x:c>
      <x:c r="AL21" s="30" t="str">
        <x:v>UpKuajing customs company contact API</x:v>
      </x:c>
      <x:c r="AM21" s="30" t="str"/>
      <x:c r="AN21" s="30" t="str"/>
      <x:c r="AO21" s="34" t="n">
        <x:v>46220</x:v>
      </x:c>
    </x:row>
    <x:row r="22" ht="44" customHeight="1">
      <x:c r="A22" s="30" t="str">
        <x:v>API联系方式已获取</x:v>
      </x:c>
      <x:c r="B22" s="30" t="str">
        <x:v>高-欧美</x:v>
      </x:c>
      <x:c r="C22" s="30" t="str">
        <x:v>塑料桶</x:v>
      </x:c>
      <x:c r="D22" s="31" t="str">
        <x:v>209334</x:v>
      </x:c>
      <x:c r="E22" s="30" t="str">
        <x:v>cotton valley</x:v>
      </x:c>
      <x:c r="F22" s="30" t="str">
        <x:v>美国</x:v>
      </x:c>
      <x:c r="G22" s="30" t="str">
        <x:v>eve@cottonvalley.net</x:v>
      </x:c>
      <x:c r="H22" s="30" t="str">
        <x:f>IF(ISNUMBER(SEARCH(":1",AC22)),"已验证有效",IF(ISNUMBER(SEARCH(":3",AC22)),"验证不确定",IF(ISNUMBER(SEARCH(":0",AC22)),"接口未能检测",IF(ISNUMBER(SEARCH(":2",AC22)),"判定无效",IF(V22&lt;&gt;"","官网已确认-未验证","无邮箱")))))</x:f>
        <x:v>判定无效</x:v>
      </x:c>
      <x:c r="I22" s="30" t="str">
        <x:v>+1 732-248-4276</x:v>
      </x:c>
      <x:c r="J22" s="30" t="str">
        <x:v>http://www.cottonvalley.net/</x:v>
      </x:c>
      <x:c r="K22" s="35" t="n">
        <x:f>ROUND((IF(H22="已验证有效",40,IF(V22&lt;&gt;"",20,0))+IF(ISNUMBER(SEARCH("状态1",Y22)),25,0)+IF(J22&lt;&gt;"",20,0)+IF(AA22&lt;&gt;"",15,0))/100,2)</x:f>
        <x:v>0.45</x:v>
      </x:c>
      <x:c r="L22" s="30" t="str">
        <x:v>待联系</x:v>
      </x:c>
      <x:c r="M22" s="30" t="str"/>
      <x:c r="N22" s="30" t="str">
        <x:v>96 distribution blvd, edison, nj usa</x:v>
      </x:c>
      <x:c r="O22" s="30" t="str"/>
      <x:c r="P22" s="30" t="str">
        <x:v>晾衣架，塑料浴垫，涤纶浴帘，竹纤维卷，套件，木板，弹簧连杆，铝制不粘炊具，帽盖，旋钮，脚，喷塑，塔托，钳，内胆，塑料衣架，挂画，挂钩浴帘，水泥胶</x:v>
      </x:c>
      <x:c r="Q22" s="32" t="n">
        <x:v>57</x:v>
      </x:c>
      <x:c r="R22" s="32" t="n">
        <x:v>11036</x:v>
      </x:c>
      <x:c r="S22" s="33" t="n">
        <x:v>0.0052</x:v>
      </x:c>
      <x:c r="T22" s="34" t="n">
        <x:v>46158.666666666664</x:v>
      </x:c>
      <x:c r="U22" s="30" t="str">
        <x:v>eve@cottonvalley.net</x:v>
      </x:c>
      <x:c r="V22" s="30" t="str"/>
      <x:c r="W22" s="30" t="str">
        <x:v>+1 732-248-4276</x:v>
      </x:c>
      <x:c r="X22" s="30" t="str"/>
      <x:c r="Y22" s="30" t="str">
        <x:v>+1 732-248-4276:状态1/类型3/WhatsApp2</x:v>
      </x:c>
      <x:c r="Z22" s="30" t="str"/>
      <x:c r="AA22" s="30" t="str"/>
      <x:c r="AB22" s="30" t="str"/>
      <x:c r="AC22" s="30" t="str">
        <x:v>eve@cottonvalley.net:2</x:v>
      </x:c>
      <x:c r="AD22" s="30" t="str">
        <x:v>塑料桶</x:v>
      </x:c>
      <x:c r="AE22" s="30" t="str">
        <x:v>塑料桶；plastic bottle；glasses；gin；plastic spoon；塑料；Bucket</x:v>
      </x:c>
      <x:c r="AF22" s="30" t="str">
        <x:v>PLASTIC BOTTLE PLASTIC BUCKET PLASTIC SPOON READGING GLASSES&lt;br/&gt;; 20QT/20000ML Plastic Bucket - 24</x:v>
      </x:c>
      <x:c r="AG22" s="30" t="str">
        <x:v>塑料桶；Plastic Container；Plastic Tub；Plastic Bin；Plastic Drum</x:v>
      </x:c>
      <x:c r="AH22" s="30" t="str">
        <x:v>塑料树脂；Petrochemicals；Plastic Granules；添加剂；Colorants</x:v>
      </x:c>
      <x:c r="AI22" s="30" t="str">
        <x:v>Food Storage；Chemical Storage；Paint Storage；Tool Storage；Water Storage</x:v>
      </x:c>
      <x:c r="AJ22" s="30" t="str">
        <x:v>塑料桶</x:v>
      </x:c>
      <x:c r="AK22" s="30" t="str">
        <x:v>expansion-search-plastic-bucket-page-01; expansion-search-plastic-pail-page-01</x:v>
      </x:c>
      <x:c r="AL22" s="30" t="str">
        <x:v>UpKuajing customs company contact API</x:v>
      </x:c>
      <x:c r="AM22" s="30" t="str"/>
      <x:c r="AN22" s="30" t="str"/>
      <x:c r="AO22" s="34" t="n">
        <x:v>46220</x:v>
      </x:c>
    </x:row>
    <x:row r="23" ht="44" customHeight="1">
      <x:c r="A23" s="30" t="str">
        <x:v>API联系方式已获取</x:v>
      </x:c>
      <x:c r="B23" s="30" t="str">
        <x:v>高-欧美</x:v>
      </x:c>
      <x:c r="C23" s="30" t="str">
        <x:v>塑料桶</x:v>
      </x:c>
      <x:c r="D23" s="31" t="str">
        <x:v>71368855</x:v>
      </x:c>
      <x:c r="E23" s="30" t="str">
        <x:v>AIO INTERNATIONAL INC</x:v>
      </x:c>
      <x:c r="F23" s="30" t="str">
        <x:v>美国</x:v>
      </x:c>
      <x:c r="G23" s="30" t="str">
        <x:v>ops@aio-intl.com</x:v>
      </x:c>
      <x:c r="H23" s="30" t="str">
        <x:f>IF(ISNUMBER(SEARCH(":1",AC23)),"已验证有效",IF(ISNUMBER(SEARCH(":3",AC23)),"验证不确定",IF(ISNUMBER(SEARCH(":0",AC23)),"接口未能检测",IF(ISNUMBER(SEARCH(":2",AC23)),"判定无效",IF(V23&lt;&gt;"","官网已确认-未验证","无邮箱")))))</x:f>
        <x:v>已验证有效</x:v>
      </x:c>
      <x:c r="I23" s="30" t="str">
        <x:v>+1 718-810-6651</x:v>
      </x:c>
      <x:c r="J23" s="30" t="str"/>
      <x:c r="K23" s="35" t="n">
        <x:f>ROUND((IF(H23="已验证有效",40,IF(V23&lt;&gt;"",20,0))+IF(ISNUMBER(SEARCH("状态1",Y23)),25,0)+IF(J23&lt;&gt;"",20,0)+IF(AA23&lt;&gt;"",15,0))/100,2)</x:f>
        <x:v>0.65</x:v>
      </x:c>
      <x:c r="L23" s="30" t="str">
        <x:v>待联系</x:v>
      </x:c>
      <x:c r="M23" s="30" t="str"/>
      <x:c r="N23" s="30" t="str">
        <x:v>Fresh Meadows, New York</x:v>
      </x:c>
      <x:c r="O23" s="30" t="str"/>
      <x:c r="P23" s="30" t="str">
        <x:v>暂无经营范围信息</x:v>
      </x:c>
      <x:c r="Q23" s="32" t="n">
        <x:v>56</x:v>
      </x:c>
      <x:c r="R23" s="32" t="n">
        <x:v>4403</x:v>
      </x:c>
      <x:c r="S23" s="33" t="n">
        <x:v>0.0127</x:v>
      </x:c>
      <x:c r="T23" s="34" t="n">
        <x:v>45922.666666666664</x:v>
      </x:c>
      <x:c r="U23" s="30" t="str">
        <x:v>ops@aio-intl.com</x:v>
      </x:c>
      <x:c r="V23" s="30" t="str"/>
      <x:c r="W23" s="30" t="str">
        <x:v>+1 718-810-6651; 7188106651</x:v>
      </x:c>
      <x:c r="X23" s="30" t="str"/>
      <x:c r="Y23" s="30" t="str">
        <x:v>+1 718-810-6651:状态1/类型3/WhatsApp0; 7188106651:状态2/类型0/WhatsApp0</x:v>
      </x:c>
      <x:c r="Z23" s="30" t="str"/>
      <x:c r="AA23" s="30" t="str"/>
      <x:c r="AB23" s="30" t="str"/>
      <x:c r="AC23" s="30" t="str">
        <x:v>ops@aio-intl.com:1</x:v>
      </x:c>
      <x:c r="AD23" s="30" t="str">
        <x:v>塑料桶</x:v>
      </x:c>
      <x:c r="AE23" s="30" t="str">
        <x:v>塑料；Bucket</x:v>
      </x:c>
      <x:c r="AF23" s="30" t="str">
        <x:v>PLASTIC BUCKET</x:v>
      </x:c>
      <x:c r="AG23" s="30" t="str">
        <x:v>塑料桶；Plastic container；Plastic tub；Plastic bin；Plastic can</x:v>
      </x:c>
      <x:c r="AH23" s="30" t="str">
        <x:v>塑料树脂；石油；Natural gas；添加剂；Colorants</x:v>
      </x:c>
      <x:c r="AI23" s="30" t="str">
        <x:v>Home storage；Industrial storage；Agricultural use；Construction use；Cleaning</x:v>
      </x:c>
      <x:c r="AJ23" s="30" t="str">
        <x:v>塑料桶</x:v>
      </x:c>
      <x:c r="AK23" s="30" t="str">
        <x:v>expansion-search-plastic-bucket-page-01; expansion-search-plastic-pail-page-01</x:v>
      </x:c>
      <x:c r="AL23" s="30" t="str">
        <x:v>UpKuajing customs company contact API</x:v>
      </x:c>
      <x:c r="AM23" s="30" t="str"/>
      <x:c r="AN23" s="30" t="str"/>
      <x:c r="AO23" s="34" t="n">
        <x:v>46220</x:v>
      </x:c>
    </x:row>
    <x:row r="24" ht="44" customHeight="1">
      <x:c r="A24" s="30" t="str">
        <x:v>API联系方式已获取</x:v>
      </x:c>
      <x:c r="B24" s="30" t="str">
        <x:v>高-欧美</x:v>
      </x:c>
      <x:c r="C24" s="30" t="str">
        <x:v>塑料桶</x:v>
      </x:c>
      <x:c r="D24" s="31" t="str">
        <x:v>71438036</x:v>
      </x:c>
      <x:c r="E24" s="30" t="str">
        <x:v>LC LOGISTICS SERVICES, INC.</x:v>
      </x:c>
      <x:c r="F24" s="30" t="str">
        <x:v>加拿大</x:v>
      </x:c>
      <x:c r="G24" s="30" t="str">
        <x:v>import@lc-worldwide.com</x:v>
      </x:c>
      <x:c r="H24" s="30" t="str">
        <x:f>IF(ISNUMBER(SEARCH(":1",AC24)),"已验证有效",IF(ISNUMBER(SEARCH(":3",AC24)),"验证不确定",IF(ISNUMBER(SEARCH(":0",AC24)),"接口未能检测",IF(ISNUMBER(SEARCH(":2",AC24)),"判定无效",IF(V24&lt;&gt;"","官网已确认-未验证","无邮箱")))))</x:f>
        <x:v>已验证有效</x:v>
      </x:c>
      <x:c r="I24" s="30" t="str">
        <x:v>+1 909-930-2932</x:v>
      </x:c>
      <x:c r="J24" s="30" t="str"/>
      <x:c r="K24" s="35" t="n">
        <x:f>ROUND((IF(H24="已验证有效",40,IF(V24&lt;&gt;"",20,0))+IF(ISNUMBER(SEARCH("状态1",Y24)),25,0)+IF(J24&lt;&gt;"",20,0)+IF(AA24&lt;&gt;"",15,0))/100,2)</x:f>
        <x:v>0.65</x:v>
      </x:c>
      <x:c r="L24" s="30" t="str">
        <x:v>待联系</x:v>
      </x:c>
      <x:c r="M24" s="30" t="str"/>
      <x:c r="N24" s="30" t="str">
        <x:v>Ontario, California</x:v>
      </x:c>
      <x:c r="O24" s="30" t="str"/>
      <x:c r="P24" s="30" t="str">
        <x:v>暂无经营范围信息</x:v>
      </x:c>
      <x:c r="Q24" s="32" t="n">
        <x:v>45</x:v>
      </x:c>
      <x:c r="R24" s="32" t="n">
        <x:v>42977</x:v>
      </x:c>
      <x:c r="S24" s="33" t="n">
        <x:v>0.001</x:v>
      </x:c>
      <x:c r="T24" s="34" t="n">
        <x:v>46192.666666666664</x:v>
      </x:c>
      <x:c r="U24" s="30" t="str">
        <x:v>import@lc-worldwide.com</x:v>
      </x:c>
      <x:c r="V24" s="30" t="str"/>
      <x:c r="W24" s="30" t="str">
        <x:v>+1 909-930-2932; 9092198000; 9099302932</x:v>
      </x:c>
      <x:c r="X24" s="30" t="str"/>
      <x:c r="Y24" s="30" t="str">
        <x:v>+1 909-930-2932:状态1/类型3/WhatsApp2; 9092198000:状态2/类型0/WhatsApp2; 9099302932:状态2/类型0/WhatsApp0</x:v>
      </x:c>
      <x:c r="Z24" s="30" t="str"/>
      <x:c r="AA24" s="30" t="str"/>
      <x:c r="AB24" s="30" t="str"/>
      <x:c r="AC24" s="30" t="str">
        <x:v>import@lc-worldwide.com:1</x:v>
      </x:c>
      <x:c r="AD24" s="30" t="str"/>
      <x:c r="AE24" s="30" t="str"/>
      <x:c r="AF24" s="30" t="str">
        <x:v>PULP EGG TRAY 20L PLASTIC BUCKET WITH COVER US REGULAR HS CODE FLOWMETERS COMPONENTS CATALOG CELLOPHANE WRAPPING MACHINE PULP EG...</x:v>
      </x:c>
      <x:c r="AG24" s="30" t="str"/>
      <x:c r="AH24" s="30" t="str"/>
      <x:c r="AI24" s="30" t="str"/>
      <x:c r="AJ24" s="30" t="str">
        <x:v>塑料桶</x:v>
      </x:c>
      <x:c r="AK24" s="30" t="str">
        <x:v>expansion-search-plastic-bucket-page-01; expansion-search-plastic-bucket-page-03</x:v>
      </x:c>
      <x:c r="AL24" s="30" t="str">
        <x:v>UpKuajing customs company contact API</x:v>
      </x:c>
      <x:c r="AM24" s="30" t="str"/>
      <x:c r="AN24" s="30" t="str"/>
      <x:c r="AO24" s="34" t="n">
        <x:v>46220</x:v>
      </x:c>
    </x:row>
    <x:row r="25" ht="44" customHeight="1">
      <x:c r="A25" s="30" t="str">
        <x:v>API联系方式已获取</x:v>
      </x:c>
      <x:c r="B25" s="30" t="str">
        <x:v>高-欧美</x:v>
      </x:c>
      <x:c r="C25" s="30" t="str">
        <x:v>塑料桶</x:v>
      </x:c>
      <x:c r="D25" s="31" t="str">
        <x:v>71415997</x:v>
      </x:c>
      <x:c r="E25" s="30" t="str">
        <x:v>GST FREIGHT, INC.</x:v>
      </x:c>
      <x:c r="F25" s="30" t="str">
        <x:v>美国</x:v>
      </x:c>
      <x:c r="G25" s="30" t="str">
        <x:v>doc@gstfreight.com</x:v>
      </x:c>
      <x:c r="H25" s="30" t="str">
        <x:f>IF(ISNUMBER(SEARCH(":1",AC25)),"已验证有效",IF(ISNUMBER(SEARCH(":3",AC25)),"验证不确定",IF(ISNUMBER(SEARCH(":0",AC25)),"接口未能检测",IF(ISNUMBER(SEARCH(":2",AC25)),"判定无效",IF(V25&lt;&gt;"","官网已确认-未验证","无邮箱")))))</x:f>
        <x:v>接口未能检测</x:v>
      </x:c>
      <x:c r="I25" s="30" t="str">
        <x:v>+1 909-973-7033</x:v>
      </x:c>
      <x:c r="J25" s="30" t="str"/>
      <x:c r="K25" s="35" t="n">
        <x:f>ROUND((IF(H25="已验证有效",40,IF(V25&lt;&gt;"",20,0))+IF(ISNUMBER(SEARCH("状态1",Y25)),25,0)+IF(J25&lt;&gt;"",20,0)+IF(AA25&lt;&gt;"",15,0))/100,2)</x:f>
        <x:v>0.25</x:v>
      </x:c>
      <x:c r="L25" s="30" t="str">
        <x:v>待联系</x:v>
      </x:c>
      <x:c r="M25" s="30" t="str"/>
      <x:c r="N25" s="30" t="str">
        <x:v>Diamond Bar, California</x:v>
      </x:c>
      <x:c r="O25" s="30" t="str"/>
      <x:c r="P25" s="30" t="str">
        <x:v>暂无经营范围信息</x:v>
      </x:c>
      <x:c r="Q25" s="32" t="n">
        <x:v>44</x:v>
      </x:c>
      <x:c r="R25" s="32" t="n">
        <x:v>29405</x:v>
      </x:c>
      <x:c r="S25" s="33" t="n">
        <x:v>0.0015</x:v>
      </x:c>
      <x:c r="T25" s="34" t="n">
        <x:v>46212.666666666664</x:v>
      </x:c>
      <x:c r="U25" s="30" t="str">
        <x:v>doc@gstfreight.com</x:v>
      </x:c>
      <x:c r="V25" s="30" t="str"/>
      <x:c r="W25" s="30" t="str">
        <x:v>+1 909-973-7033; 6268635357; 9099737033</x:v>
      </x:c>
      <x:c r="X25" s="30" t="str"/>
      <x:c r="Y25" s="30" t="str">
        <x:v>+1 909-973-7033:状态1/类型3/WhatsApp0; 6268635357:状态2/类型0/WhatsApp0; 9099737033:状态2/类型0/WhatsApp0</x:v>
      </x:c>
      <x:c r="Z25" s="30" t="str"/>
      <x:c r="AA25" s="30" t="str"/>
      <x:c r="AB25" s="30" t="str"/>
      <x:c r="AC25" s="30" t="str">
        <x:v>doc@gstfreight.com:0</x:v>
      </x:c>
      <x:c r="AD25" s="30" t="str"/>
      <x:c r="AE25" s="30" t="str"/>
      <x:c r="AF25" s="30" t="str">
        <x:v>CLEANING BRUSH CLEANING BRUSH PLASTIC BUCKET FOOT STOOL ( HS 9603909090)</x:v>
      </x:c>
      <x:c r="AG25" s="30" t="str"/>
      <x:c r="AH25" s="30" t="str"/>
      <x:c r="AI25" s="30" t="str"/>
      <x:c r="AJ25" s="30" t="str">
        <x:v>塑料桶</x:v>
      </x:c>
      <x:c r="AK25" s="30" t="str">
        <x:v>expansion-search-plastic-bucket-page-01</x:v>
      </x:c>
      <x:c r="AL25" s="30" t="str">
        <x:v>UpKuajing customs company contact API</x:v>
      </x:c>
      <x:c r="AM25" s="30" t="str"/>
      <x:c r="AN25" s="30" t="str"/>
      <x:c r="AO25" s="34" t="n">
        <x:v>46220</x:v>
      </x:c>
    </x:row>
    <x:row r="26" ht="44" customHeight="1">
      <x:c r="A26" s="30" t="str">
        <x:v>API联系方式已获取</x:v>
      </x:c>
      <x:c r="B26" s="30" t="str">
        <x:v>高-欧美</x:v>
      </x:c>
      <x:c r="C26" s="30" t="str">
        <x:v>油漆刷</x:v>
      </x:c>
      <x:c r="D26" s="31" t="str">
        <x:v>71456730</x:v>
      </x:c>
      <x:c r="E26" s="30" t="str">
        <x:v>OCEANTRADE INC</x:v>
      </x:c>
      <x:c r="F26" s="30" t="str">
        <x:v>美国</x:v>
      </x:c>
      <x:c r="G26" s="30" t="str">
        <x:v>customsinc169@gmail.com</x:v>
      </x:c>
      <x:c r="H26" s="30" t="str">
        <x:f>IF(ISNUMBER(SEARCH(":1",AC26)),"已验证有效",IF(ISNUMBER(SEARCH(":3",AC26)),"验证不确定",IF(ISNUMBER(SEARCH(":0",AC26)),"接口未能检测",IF(ISNUMBER(SEARCH(":2",AC26)),"判定无效",IF(V26&lt;&gt;"","官网已确认-未验证","无邮箱")))))</x:f>
        <x:v>已验证有效</x:v>
      </x:c>
      <x:c r="I26" s="30" t="str">
        <x:v>+1 541-915-0356</x:v>
      </x:c>
      <x:c r="J26" s="30" t="str"/>
      <x:c r="K26" s="35" t="n">
        <x:f>ROUND((IF(H26="已验证有效",40,IF(V26&lt;&gt;"",20,0))+IF(ISNUMBER(SEARCH("状态1",Y26)),25,0)+IF(J26&lt;&gt;"",20,0)+IF(AA26&lt;&gt;"",15,0))/100,2)</x:f>
        <x:v>0.65</x:v>
      </x:c>
      <x:c r="L26" s="30" t="str">
        <x:v>待联系</x:v>
      </x:c>
      <x:c r="M26" s="30" t="str"/>
      <x:c r="N26" s="30" t="str">
        <x:v>New York City, New York</x:v>
      </x:c>
      <x:c r="O26" s="30" t="str"/>
      <x:c r="P26" s="30" t="str">
        <x:v>暂无经营范围信息</x:v>
      </x:c>
      <x:c r="Q26" s="32" t="n">
        <x:v>38</x:v>
      </x:c>
      <x:c r="R26" s="32" t="n">
        <x:v>812</x:v>
      </x:c>
      <x:c r="S26" s="33" t="n">
        <x:v>0.046799999999999994</x:v>
      </x:c>
      <x:c r="T26" s="34" t="n">
        <x:v>46099.666666666664</x:v>
      </x:c>
      <x:c r="U26" s="30" t="str">
        <x:v>customsinc169@gmail.com</x:v>
      </x:c>
      <x:c r="V26" s="30" t="str"/>
      <x:c r="W26" s="30" t="str">
        <x:v>+1 541-915-0356; 5419150356</x:v>
      </x:c>
      <x:c r="X26" s="30" t="str"/>
      <x:c r="Y26" s="30" t="str">
        <x:v>+1 541-915-0356:状态1/类型3/WhatsApp0; 5419150356:状态2/类型0/WhatsApp0</x:v>
      </x:c>
      <x:c r="Z26" s="30" t="str"/>
      <x:c r="AA26" s="30" t="str"/>
      <x:c r="AB26" s="30" t="str"/>
      <x:c r="AC26" s="30" t="str">
        <x:v>customsinc169@gmail.com:1</x:v>
      </x:c>
      <x:c r="AD26" s="30" t="str"/>
      <x:c r="AE26" s="30" t="str"/>
      <x:c r="AF26" s="30" t="str">
        <x:v>HARROW SHEEPHOOK FRUIT PICKER SAW SUPPORT ROD PILING HANDLE SCOOTER BLENDER HOE LAWN PUSHI NG WALL FUR SHOVEL PAINT BRUSH STORAG...</x:v>
      </x:c>
      <x:c r="AG26" s="30" t="str"/>
      <x:c r="AH26" s="30" t="str"/>
      <x:c r="AI26" s="30" t="str"/>
      <x:c r="AJ26" s="30" t="str">
        <x:v>油漆刷</x:v>
      </x:c>
      <x:c r="AK26" s="30" t="str">
        <x:v>expansion-search-paint-brush-page-01</x:v>
      </x:c>
      <x:c r="AL26" s="30" t="str">
        <x:v>UpKuajing customs company contact API</x:v>
      </x:c>
      <x:c r="AM26" s="30" t="str"/>
      <x:c r="AN26" s="30" t="str"/>
      <x:c r="AO26" s="34" t="n">
        <x:v>46220</x:v>
      </x:c>
    </x:row>
    <x:row r="27" ht="44" customHeight="1">
      <x:c r="A27" s="30" t="str">
        <x:v>API联系方式已获取</x:v>
      </x:c>
      <x:c r="B27" s="30" t="str">
        <x:v>高-欧美</x:v>
      </x:c>
      <x:c r="C27" s="30" t="str">
        <x:v>油漆刷</x:v>
      </x:c>
      <x:c r="D27" s="31" t="str">
        <x:v>17242088</x:v>
      </x:c>
      <x:c r="E27" s="30" t="str">
        <x:v>sun usa imports</x:v>
      </x:c>
      <x:c r="F27" s="30" t="str">
        <x:v>美国</x:v>
      </x:c>
      <x:c r="G27" s="30" t="str">
        <x:v>isabel@ecoripe.com</x:v>
      </x:c>
      <x:c r="H27" s="30" t="str">
        <x:f>IF(ISNUMBER(SEARCH(":1",AC27)),"已验证有效",IF(ISNUMBER(SEARCH(":3",AC27)),"验证不确定",IF(ISNUMBER(SEARCH(":0",AC27)),"接口未能检测",IF(ISNUMBER(SEARCH(":2",AC27)),"判定无效",IF(V27&lt;&gt;"","官网已确认-未验证","无邮箱")))))</x:f>
        <x:v>已验证有效</x:v>
      </x:c>
      <x:c r="I27" s="30" t="str">
        <x:v>+1 954-545-6460</x:v>
      </x:c>
      <x:c r="J27" s="30" t="str"/>
      <x:c r="K27" s="35" t="n">
        <x:f>ROUND((IF(H27="已验证有效",40,IF(V27&lt;&gt;"",20,0))+IF(ISNUMBER(SEARCH("状态1",Y27)),25,0)+IF(J27&lt;&gt;"",20,0)+IF(AA27&lt;&gt;"",15,0))/100,2)</x:f>
        <x:v>0.65</x:v>
      </x:c>
      <x:c r="L27" s="30" t="str">
        <x:v>待联系</x:v>
      </x:c>
      <x:c r="M27" s="30" t="str"/>
      <x:c r="N27" s="30" t="str">
        <x:v>2230 sw 2nd street, pompano beach f 33069</x:v>
      </x:c>
      <x:c r="O27" s="30" t="str"/>
      <x:c r="P27" s="30" t="str">
        <x:v>新鲜苹果、苹果、甜瓜、沙子，载体，货物、蜂蜜，盒子、完整容器，海豹、帽子</x:v>
      </x:c>
      <x:c r="Q27" s="32" t="n">
        <x:v>36</x:v>
      </x:c>
      <x:c r="R27" s="32" t="n">
        <x:v>6761</x:v>
      </x:c>
      <x:c r="S27" s="33" t="n">
        <x:v>0.0053</x:v>
      </x:c>
      <x:c r="T27" s="34" t="n">
        <x:v>46070.666666666664</x:v>
      </x:c>
      <x:c r="U27" s="30" t="str">
        <x:v>isabel@ecoripe.com</x:v>
      </x:c>
      <x:c r="V27" s="30" t="str"/>
      <x:c r="W27" s="30" t="str">
        <x:v>+1 954-545-6460</x:v>
      </x:c>
      <x:c r="X27" s="30" t="str"/>
      <x:c r="Y27" s="30" t="str">
        <x:v>+1 954-545-6460:状态1/类型3/WhatsApp2</x:v>
      </x:c>
      <x:c r="Z27" s="30" t="str"/>
      <x:c r="AA27" s="30" t="str"/>
      <x:c r="AB27" s="30" t="str"/>
      <x:c r="AC27" s="30" t="str">
        <x:v>isabel@ecoripe.com:1</x:v>
      </x:c>
      <x:c r="AD27" s="30" t="str"/>
      <x:c r="AE27" s="30" t="str">
        <x:v>sharpener；plastic color；pla；pig；eraser；watercolor；stationery；color pencil；pc；油漆刷</x:v>
      </x:c>
      <x:c r="AF27" s="30" t="str">
        <x:v>STATIONERY 6PCS COLOR PENCIL 1PCS PLASTIC COLOR PLATTE 1PCSERASER 1PCS SHARPENER 1PCS PAINT BRUSH 8PCS WATERCOLOR PIGMSTATIONERY 6PCS COLOR PENCIL 1PCS PLASTIC COLOR PLATTE 1PCS</x:v>
      </x:c>
      <x:c r="AG27" s="30" t="str"/>
      <x:c r="AH27" s="30" t="str"/>
      <x:c r="AI27" s="30" t="str"/>
      <x:c r="AJ27" s="30" t="str">
        <x:v>油漆刷</x:v>
      </x:c>
      <x:c r="AK27" s="30" t="str">
        <x:v>expansion-search-paint-brush-page-01</x:v>
      </x:c>
      <x:c r="AL27" s="30" t="str">
        <x:v>UpKuajing customs company contact API</x:v>
      </x:c>
      <x:c r="AM27" s="30" t="str"/>
      <x:c r="AN27" s="30" t="str"/>
      <x:c r="AO27" s="34" t="n">
        <x:v>46220</x:v>
      </x:c>
    </x:row>
    <x:row r="28" ht="44" customHeight="1">
      <x:c r="A28" s="30" t="str">
        <x:v>API联系方式已获取</x:v>
      </x:c>
      <x:c r="B28" s="30" t="str">
        <x:v>高-欧美</x:v>
      </x:c>
      <x:c r="C28" s="30" t="str">
        <x:v>塑料桶</x:v>
      </x:c>
      <x:c r="D28" s="31" t="str">
        <x:v>71459404</x:v>
      </x:c>
      <x:c r="E28" s="30" t="str">
        <x:v>PAN PACIFIC EXPRESS CORP.</x:v>
      </x:c>
      <x:c r="F28" s="30" t="str">
        <x:v>美国</x:v>
      </x:c>
      <x:c r="G28" s="30" t="str">
        <x:v>panimp@panpacificusa.com</x:v>
      </x:c>
      <x:c r="H28" s="30" t="str">
        <x:f>IF(ISNUMBER(SEARCH(":1",AC28)),"已验证有效",IF(ISNUMBER(SEARCH(":3",AC28)),"验证不确定",IF(ISNUMBER(SEARCH(":0",AC28)),"接口未能检测",IF(ISNUMBER(SEARCH(":2",AC28)),"判定无效",IF(V28&lt;&gt;"","官网已确认-未验证","无邮箱")))))</x:f>
        <x:v>接口未能检测</x:v>
      </x:c>
      <x:c r="I28" s="30" t="str">
        <x:v>+1 310-638-3887</x:v>
      </x:c>
      <x:c r="J28" s="30" t="str"/>
      <x:c r="K28" s="35" t="n">
        <x:f>ROUND((IF(H28="已验证有效",40,IF(V28&lt;&gt;"",20,0))+IF(ISNUMBER(SEARCH("状态1",Y28)),25,0)+IF(J28&lt;&gt;"",20,0)+IF(AA28&lt;&gt;"",15,0))/100,2)</x:f>
        <x:v>0.25</x:v>
      </x:c>
      <x:c r="L28" s="30" t="str">
        <x:v>待联系</x:v>
      </x:c>
      <x:c r="M28" s="30" t="str"/>
      <x:c r="N28" s="30" t="str">
        <x:v>Torrance, California</x:v>
      </x:c>
      <x:c r="O28" s="30" t="str"/>
      <x:c r="P28" s="30" t="str">
        <x:v>暂无经营范围信息</x:v>
      </x:c>
      <x:c r="Q28" s="32" t="n">
        <x:v>24</x:v>
      </x:c>
      <x:c r="R28" s="32" t="n">
        <x:v>60560</x:v>
      </x:c>
      <x:c r="S28" s="33" t="n">
        <x:v>0.0004</x:v>
      </x:c>
      <x:c r="T28" s="34" t="n">
        <x:v>46200.666666666664</x:v>
      </x:c>
      <x:c r="U28" s="30" t="str">
        <x:v>panimp@panpacificusa.com</x:v>
      </x:c>
      <x:c r="V28" s="30" t="str"/>
      <x:c r="W28" s="30" t="str">
        <x:v>+1 310-638-3887; 3106383887</x:v>
      </x:c>
      <x:c r="X28" s="30" t="str"/>
      <x:c r="Y28" s="30" t="str">
        <x:v>+1 310-638-3887:状态1/类型3/WhatsApp2; 3106383887:状态2/类型0/WhatsApp0</x:v>
      </x:c>
      <x:c r="Z28" s="30" t="str"/>
      <x:c r="AA28" s="30" t="str"/>
      <x:c r="AB28" s="30" t="str"/>
      <x:c r="AC28" s="30" t="str">
        <x:v>panimp@panpacificusa.com:0</x:v>
      </x:c>
      <x:c r="AD28" s="30" t="str"/>
      <x:c r="AE28" s="30" t="str"/>
      <x:c r="AF28" s="30" t="str">
        <x:v>. SCREWS PLASTIC LID PLASTIC JAR PAIL LID PAIL</x:v>
      </x:c>
      <x:c r="AG28" s="30" t="str"/>
      <x:c r="AH28" s="30" t="str"/>
      <x:c r="AI28" s="30" t="str"/>
      <x:c r="AJ28" s="30" t="str">
        <x:v>塑料桶</x:v>
      </x:c>
      <x:c r="AK28" s="30" t="str">
        <x:v>expansion-search-plastic-pail-page-01</x:v>
      </x:c>
      <x:c r="AL28" s="30" t="str">
        <x:v>UpKuajing customs company contact API</x:v>
      </x:c>
      <x:c r="AM28" s="30" t="str"/>
      <x:c r="AN28" s="30" t="str"/>
      <x:c r="AO28" s="34" t="n">
        <x:v>46220</x:v>
      </x:c>
    </x:row>
    <x:row r="29" ht="44" customHeight="1">
      <x:c r="A29" s="30" t="str">
        <x:v>API联系方式已获取</x:v>
      </x:c>
      <x:c r="B29" s="30" t="str">
        <x:v>高-欧美</x:v>
      </x:c>
      <x:c r="C29" s="30" t="str">
        <x:v>塑料桶</x:v>
      </x:c>
      <x:c r="D29" s="31" t="str">
        <x:v>71417687</x:v>
      </x:c>
      <x:c r="E29" s="30" t="str">
        <x:v>HAI-WIND WORLDWIDE INC</x:v>
      </x:c>
      <x:c r="F29" s="30" t="str">
        <x:v>美国</x:v>
      </x:c>
      <x:c r="G29" s="30" t="str">
        <x:v>doc@haiwindworldwide.com</x:v>
      </x:c>
      <x:c r="H29" s="30" t="str">
        <x:f>IF(ISNUMBER(SEARCH(":1",AC29)),"已验证有效",IF(ISNUMBER(SEARCH(":3",AC29)),"验证不确定",IF(ISNUMBER(SEARCH(":0",AC29)),"接口未能检测",IF(ISNUMBER(SEARCH(":2",AC29)),"判定无效",IF(V29&lt;&gt;"","官网已确认-未验证","无邮箱")))))</x:f>
        <x:v>已验证有效</x:v>
      </x:c>
      <x:c r="I29" s="30" t="str">
        <x:v>16266344145</x:v>
      </x:c>
      <x:c r="J29" s="30" t="str"/>
      <x:c r="K29" s="35" t="n">
        <x:f>ROUND((IF(H29="已验证有效",40,IF(V29&lt;&gt;"",20,0))+IF(ISNUMBER(SEARCH("状态1",Y29)),25,0)+IF(J29&lt;&gt;"",20,0)+IF(AA29&lt;&gt;"",15,0))/100,2)</x:f>
        <x:v>0.65</x:v>
      </x:c>
      <x:c r="L29" s="30" t="str">
        <x:v>待联系</x:v>
      </x:c>
      <x:c r="M29" s="30" t="str"/>
      <x:c r="N29" s="30" t="str">
        <x:v>Monterey Park, California</x:v>
      </x:c>
      <x:c r="O29" s="30" t="str"/>
      <x:c r="P29" s="30" t="str">
        <x:v>暂无经营范围信息</x:v>
      </x:c>
      <x:c r="Q29" s="32" t="n">
        <x:v>23</x:v>
      </x:c>
      <x:c r="R29" s="32" t="n">
        <x:v>72151</x:v>
      </x:c>
      <x:c r="S29" s="33" t="n">
        <x:v>0.0003</x:v>
      </x:c>
      <x:c r="T29" s="34" t="n">
        <x:v>45931.666666666664</x:v>
      </x:c>
      <x:c r="U29" s="30" t="str">
        <x:v>doc@haiwindworldwide.com</x:v>
      </x:c>
      <x:c r="V29" s="30" t="str"/>
      <x:c r="W29" s="30" t="str">
        <x:v>16266344145; +1 626-766-1299; 6265093008; 6267661299; 6268888184</x:v>
      </x:c>
      <x:c r="X29" s="30" t="str"/>
      <x:c r="Y29" s="30" t="str">
        <x:v>16266344145:状态1/类型2/WhatsApp1; +1 626-766-1299:状态1/类型3/WhatsApp2; 6265093008:状态2/类型0/WhatsApp2; 6267661299:状态2/类型0/WhatsApp2; 6268888184:状态2/类型0/WhatsApp2</x:v>
      </x:c>
      <x:c r="Z29" s="30" t="str">
        <x:v>16266344145</x:v>
      </x:c>
      <x:c r="AA29" s="30" t="str"/>
      <x:c r="AB29" s="30" t="str"/>
      <x:c r="AC29" s="30" t="str">
        <x:v>doc@haiwindworldwide.com:1</x:v>
      </x:c>
      <x:c r="AD29" s="30" t="str">
        <x:v>塑料桶</x:v>
      </x:c>
      <x:c r="AE29" s="30" t="str">
        <x:v>塑料；Buckets</x:v>
      </x:c>
      <x:c r="AF29" s="30" t="str">
        <x:v>PLASTIC BUCKETS SCAC=PRIM NO SOLID WOOD PACKI NG MATERIAL; WIPING PAPER; MICROFIBER TOWEL; WRINGER BUCKET; PLASTIC CUPS; PL</x:v>
      </x:c>
      <x:c r="AG29" s="30" t="str">
        <x:v>塑料桶；Plastic container；Plastic tub；Plastic bin；Plastic can</x:v>
      </x:c>
      <x:c r="AH29" s="30" t="str">
        <x:v>塑料树脂；Petrochemicals；Plastic polymers；添加剂；Colorants</x:v>
      </x:c>
      <x:c r="AI29" s="30" t="str">
        <x:v>Home storage；Industrial storage；Agricultural use；Construction use；Food storage</x:v>
      </x:c>
      <x:c r="AJ29" s="30" t="str">
        <x:v>塑料桶</x:v>
      </x:c>
      <x:c r="AK29" s="30" t="str">
        <x:v>expansion-search-plastic-pail-page-01; expansion-search-plastic-bucket-page-02</x:v>
      </x:c>
      <x:c r="AL29" s="30" t="str">
        <x:v>UpKuajing customs company contact API</x:v>
      </x:c>
      <x:c r="AM29" s="30" t="str"/>
      <x:c r="AN29" s="30" t="str"/>
      <x:c r="AO29" s="34" t="n">
        <x:v>46220</x:v>
      </x:c>
    </x:row>
    <x:row r="30" ht="44" customHeight="1">
      <x:c r="A30" s="30" t="str">
        <x:v>API联系方式已获取</x:v>
      </x:c>
      <x:c r="B30" s="30" t="str">
        <x:v>高-欧美</x:v>
      </x:c>
      <x:c r="C30" s="30" t="str">
        <x:v>塑料桶</x:v>
      </x:c>
      <x:c r="D30" s="31" t="str">
        <x:v>229773</x:v>
      </x:c>
      <x:c r="E30" s="30" t="str">
        <x:v>archer co usa inc</x:v>
      </x:c>
      <x:c r="F30" s="30" t="str">
        <x:v>美国</x:v>
      </x:c>
      <x:c r="G30" s="30" t="str">
        <x:v>sales@archerusa.com</x:v>
      </x:c>
      <x:c r="H30" s="30" t="str">
        <x:f>IF(ISNUMBER(SEARCH(":1",AC30)),"已验证有效",IF(ISNUMBER(SEARCH(":3",AC30)),"验证不确定",IF(ISNUMBER(SEARCH(":0",AC30)),"接口未能检测",IF(ISNUMBER(SEARCH(":2",AC30)),"判定无效",IF(V30&lt;&gt;"","官网已确认-未验证","无邮箱")))))</x:f>
        <x:v>已验证有效</x:v>
      </x:c>
      <x:c r="I30" s="30" t="str"/>
      <x:c r="J30" s="30" t="str">
        <x:v>http://www.archerusa.com</x:v>
      </x:c>
      <x:c r="K30" s="35" t="n">
        <x:f>ROUND((IF(H30="已验证有效",40,IF(V30&lt;&gt;"",20,0))+IF(ISNUMBER(SEARCH("状态1",Y30)),25,0)+IF(J30&lt;&gt;"",20,0)+IF(AA30&lt;&gt;"",15,0))/100,2)</x:f>
        <x:v>0.6</x:v>
      </x:c>
      <x:c r="L30" s="30" t="str">
        <x:v>待联系</x:v>
      </x:c>
      <x:c r="M30" s="30" t="str"/>
      <x:c r="N30" s="30" t="str">
        <x:v>1665 futurity dr. suite b sunland park, nm 88063. united states</x:v>
      </x:c>
      <x:c r="O30" s="30" t="str"/>
      <x:c r="P30" s="30" t="str">
        <x:v>塑料桶、铁、玩具、装饰、砂轮、烧结、电镀、砂轮、焊条、翅片、盖子、电镀、轮塑料、芯钻头、焊丝、型材、天空、芯刀片、栅栏尖头、抛光垫</x:v>
      </x:c>
      <x:c r="Q30" s="32" t="n">
        <x:v>19</x:v>
      </x:c>
      <x:c r="R30" s="32" t="n">
        <x:v>469</x:v>
      </x:c>
      <x:c r="S30" s="33" t="n">
        <x:v>0.0405</x:v>
      </x:c>
      <x:c r="T30" s="34" t="n">
        <x:v>46058.666666666664</x:v>
      </x:c>
      <x:c r="U30" s="30" t="str">
        <x:v>chris@archerco.com; sales@archerusa.com</x:v>
      </x:c>
      <x:c r="V30" s="30" t="str"/>
      <x:c r="W30" s="30" t="str"/>
      <x:c r="X30" s="30" t="str"/>
      <x:c r="Y30" s="30" t="str"/>
      <x:c r="Z30" s="30" t="str"/>
      <x:c r="AA30" s="30" t="str"/>
      <x:c r="AB30" s="30" t="str"/>
      <x:c r="AC30" s="30" t="str">
        <x:v>chris@archerco.com:0; sales@archerusa.com:1</x:v>
      </x:c>
      <x:c r="AD30" s="30" t="str"/>
      <x:c r="AE30" s="30" t="str">
        <x:v>dexpan；塑料桶；plastic lid；expansive cement；outer box</x:v>
      </x:c>
      <x:c r="AF30" s="30" t="str">
        <x:v>DEXPAN(EXPANSIVE CEMENT) OUTER BOX PLASTIC PAILS PLASTIC LIDS&lt;br/&gt;</x:v>
      </x:c>
      <x:c r="AG30" s="30" t="str"/>
      <x:c r="AH30" s="30" t="str"/>
      <x:c r="AI30" s="30" t="str"/>
      <x:c r="AJ30" s="30" t="str">
        <x:v>塑料桶</x:v>
      </x:c>
      <x:c r="AK30" s="30" t="str">
        <x:v>expansion-search-plastic-pail-page-01; expansion-search-plastic-pail-page-03</x:v>
      </x:c>
      <x:c r="AL30" s="30" t="str">
        <x:v>UpKuajing customs company contact API</x:v>
      </x:c>
      <x:c r="AM30" s="30" t="str"/>
      <x:c r="AN30" s="30" t="str"/>
      <x:c r="AO30" s="34" t="n">
        <x:v>46220</x:v>
      </x:c>
    </x:row>
    <x:row r="31" ht="44" customHeight="1">
      <x:c r="A31" s="30" t="str">
        <x:v>API联系方式已获取</x:v>
      </x:c>
      <x:c r="B31" s="30" t="str">
        <x:v>高-欧美</x:v>
      </x:c>
      <x:c r="C31" s="30" t="str">
        <x:v>刷子</x:v>
      </x:c>
      <x:c r="D31" s="31" t="str">
        <x:v>20450959</x:v>
      </x:c>
      <x:c r="E31" s="30" t="str">
        <x:v>DIXON TICONDEROGA COMPANY</x:v>
      </x:c>
      <x:c r="F31" s="30" t="str">
        <x:v>美国</x:v>
      </x:c>
      <x:c r="G31" s="30" t="str">
        <x:v>orders@dixoncanada.com</x:v>
      </x:c>
      <x:c r="H31" s="30" t="str">
        <x:f>IF(ISNUMBER(SEARCH(":1",AC31)),"已验证有效",IF(ISNUMBER(SEARCH(":3",AC31)),"验证不确定",IF(ISNUMBER(SEARCH(":0",AC31)),"接口未能检测",IF(ISNUMBER(SEARCH(":2",AC31)),"判定无效",IF(V31&lt;&gt;"","官网已确认-未验证","无邮箱")))))</x:f>
        <x:v>已验证有效</x:v>
      </x:c>
      <x:c r="I31" s="30" t="str">
        <x:v>+1 800-333-2545</x:v>
      </x:c>
      <x:c r="J31" s="30" t="str">
        <x:v>dixonticonderoga.com</x:v>
      </x:c>
      <x:c r="K31" s="35" t="n">
        <x:f>ROUND((IF(H31="已验证有效",40,IF(V31&lt;&gt;"",20,0))+IF(ISNUMBER(SEARCH("状态1",Y31)),25,0)+IF(J31&lt;&gt;"",20,0)+IF(AA31&lt;&gt;"",15,0))/100,2)</x:f>
        <x:v>1</x:v>
      </x:c>
      <x:c r="L31" s="30" t="str">
        <x:v>待联系</x:v>
      </x:c>
      <x:c r="M31" s="30" t="str"/>
      <x:c r="N31" s="30" t="str">
        <x:v>macon, georgia, united states 723 Joe Tamplin Industria</x:v>
      </x:c>
      <x:c r="O31" s="30" t="str"/>
      <x:c r="P31" s="30" t="str">
        <x:v>暂无经营范围信息</x:v>
      </x:c>
      <x:c r="Q31" s="32" t="n">
        <x:v>19</x:v>
      </x:c>
      <x:c r="R31" s="32" t="n">
        <x:v>2014</x:v>
      </x:c>
      <x:c r="S31" s="33" t="n">
        <x:v>0.009399999999999999</x:v>
      </x:c>
      <x:c r="T31" s="34" t="n">
        <x:v>45907.666666666664</x:v>
      </x:c>
      <x:c r="U31" s="30" t="str">
        <x:v>orders@dixoncanada.com; orders@dixonusa.com</x:v>
      </x:c>
      <x:c r="V31" s="30" t="str"/>
      <x:c r="W31" s="30" t="str">
        <x:v>+1 800-333-2545; 7057226701; 8003332545; 9208305050</x:v>
      </x:c>
      <x:c r="X31" s="30" t="str"/>
      <x:c r="Y31" s="30" t="str">
        <x:v>+1 800-333-2545:状态1/类型3/WhatsApp2; 7057226701:状态2/类型0/WhatsApp2; 8003332545:状态2/类型0/WhatsApp2; 9208305050:状态2/类型0/WhatsApp2</x:v>
      </x:c>
      <x:c r="Z31" s="30" t="str"/>
      <x:c r="AA31" s="30" t="str">
        <x:v>https://www.linkedin.com/company/dixon-ticonderoga-company</x:v>
      </x:c>
      <x:c r="AB31" s="30" t="str"/>
      <x:c r="AC31" s="30" t="str">
        <x:v>orders@dixoncanada.com:1; orders@dixonusa.com:1</x:v>
      </x:c>
      <x:c r="AD31" s="30" t="str"/>
      <x:c r="AE31" s="30" t="str"/>
      <x:c r="AF31" s="30" t="str">
        <x:v>ARTIST BRUSH </x:v>
      </x:c>
      <x:c r="AG31" s="30" t="str"/>
      <x:c r="AH31" s="30" t="str"/>
      <x:c r="AI31" s="30" t="str"/>
      <x:c r="AJ31" s="30" t="str">
        <x:v>刷子</x:v>
      </x:c>
      <x:c r="AK31" s="30" t="str">
        <x:v>expansion-search-brush-page-07</x:v>
      </x:c>
      <x:c r="AL31" s="30" t="str">
        <x:v>UpKuajing customs company contact API</x:v>
      </x:c>
      <x:c r="AM31" s="30" t="str"/>
      <x:c r="AN31" s="30" t="str"/>
      <x:c r="AO31" s="34" t="n">
        <x:v>46220</x:v>
      </x:c>
    </x:row>
    <x:row r="32" ht="44" customHeight="1">
      <x:c r="A32" s="30" t="str">
        <x:v>API联系方式已获取</x:v>
      </x:c>
      <x:c r="B32" s="30" t="str">
        <x:v>高-欧美</x:v>
      </x:c>
      <x:c r="C32" s="30" t="str">
        <x:v>遮蔽膜</x:v>
      </x:c>
      <x:c r="D32" s="31" t="str">
        <x:v>13957403</x:v>
      </x:c>
      <x:c r="E32" s="30" t="str">
        <x:v>poli film mexico</x:v>
      </x:c>
      <x:c r="F32" s="30" t="str">
        <x:v>美国</x:v>
      </x:c>
      <x:c r="G32" s="30" t="str">
        <x:v>restrada@poli-film.net</x:v>
      </x:c>
      <x:c r="H32" s="30" t="str">
        <x:f>IF(ISNUMBER(SEARCH(":1",AC32)),"已验证有效",IF(ISNUMBER(SEARCH(":3",AC32)),"验证不确定",IF(ISNUMBER(SEARCH(":0",AC32)),"接口未能检测",IF(ISNUMBER(SEARCH(":2",AC32)),"判定无效",IF(V32&lt;&gt;"","官网已确认-未验证","无邮箱")))))</x:f>
        <x:v>已验证有效</x:v>
      </x:c>
      <x:c r="I32" s="30" t="str"/>
      <x:c r="J32" s="30" t="str">
        <x:v>http://www.polifilmamerica.com/</x:v>
      </x:c>
      <x:c r="K32" s="35" t="n">
        <x:f>ROUND((IF(H32="已验证有效",40,IF(V32&lt;&gt;"",20,0))+IF(ISNUMBER(SEARCH("状态1",Y32)),25,0)+IF(J32&lt;&gt;"",20,0)+IF(AA32&lt;&gt;"",15,0))/100,2)</x:f>
        <x:v>0.6</x:v>
      </x:c>
      <x:c r="L32" s="30" t="str">
        <x:v>待联系</x:v>
      </x:c>
      <x:c r="M32" s="30" t="str"/>
      <x:c r="N32" s="30" t="str">
        <x:v>carretera miguel alemar km 14.2 bodega 10 apodaca, nl 66630</x:v>
      </x:c>
      <x:c r="O32" s="30" t="str"/>
      <x:c r="P32" s="30" t="str">
        <x:v>猫，杆，卷，碱液，阿尔塔米拉，300，阿尔塔，印刷薄膜，运输唛头，锡，聚乙烯，白粉，琥珀色，离子，聚乙烯薄膜，屋顶，粘合剂</x:v>
      </x:c>
      <x:c r="Q32" s="32" t="n">
        <x:v>17</x:v>
      </x:c>
      <x:c r="R32" s="32" t="n">
        <x:v>1116</x:v>
      </x:c>
      <x:c r="S32" s="33" t="n">
        <x:v>0.0152</x:v>
      </x:c>
      <x:c r="T32" s="34" t="n">
        <x:v>46140.666666666664</x:v>
      </x:c>
      <x:c r="U32" s="30" t="str">
        <x:v>restrada@poli-film.net</x:v>
      </x:c>
      <x:c r="V32" s="30" t="str"/>
      <x:c r="W32" s="30" t="str"/>
      <x:c r="X32" s="30" t="str"/>
      <x:c r="Y32" s="30" t="str"/>
      <x:c r="Z32" s="30" t="str"/>
      <x:c r="AA32" s="30" t="str"/>
      <x:c r="AB32" s="30" t="str"/>
      <x:c r="AC32" s="30" t="str">
        <x:v>restrada@poli-film.net:1</x:v>
      </x:c>
      <x:c r="AD32" s="30" t="str"/>
      <x:c r="AE32" s="30" t="str">
        <x:v>tin；聚乙烯；遮蔽膜；聚乙烯；po le；cat；ion；卷材</x:v>
      </x:c>
      <x:c r="AF32" s="30" t="str">
        <x:v>POLYETHYLENE MASKING FILM - ROLLS OF POLY ETHYLENE MASKING FILM(..)PACK ED ONTO PALLETS REF# ,W-- PO #PO LEG// =CONSIGNEE &amp; NOTIFY CONTINUE: TEL:+- TAX IDEN TIFICATION NUMBE R:PME--T&lt;br/&gt;</x:v>
      </x:c>
      <x:c r="AG32" s="30" t="str"/>
      <x:c r="AH32" s="30" t="str"/>
      <x:c r="AI32" s="30" t="str"/>
      <x:c r="AJ32" s="30" t="str">
        <x:v>遮蔽膜</x:v>
      </x:c>
      <x:c r="AK32" s="30" t="str">
        <x:v>masking-film-buyers-exact-search</x:v>
      </x:c>
      <x:c r="AL32" s="30" t="str">
        <x:v>UpKuajing customs company contact API</x:v>
      </x:c>
      <x:c r="AM32" s="30" t="str"/>
      <x:c r="AN32" s="30" t="str"/>
      <x:c r="AO32" s="34" t="n">
        <x:v>46220</x:v>
      </x:c>
    </x:row>
    <x:row r="33" ht="44" customHeight="1">
      <x:c r="A33" s="30" t="str">
        <x:v>API联系方式已获取</x:v>
      </x:c>
      <x:c r="B33" s="30" t="str">
        <x:v>高-欧美</x:v>
      </x:c>
      <x:c r="C33" s="30" t="str">
        <x:v>塑料桶</x:v>
      </x:c>
      <x:c r="D33" s="31" t="str">
        <x:v>71432248</x:v>
      </x:c>
      <x:c r="E33" s="30" t="str">
        <x:v>JRY EXPRESS INC</x:v>
      </x:c>
      <x:c r="F33" s="30" t="str">
        <x:v>美国</x:v>
      </x:c>
      <x:c r="G33" s="30" t="str">
        <x:v>info@jryexpress.com</x:v>
      </x:c>
      <x:c r="H33" s="30" t="str">
        <x:f>IF(ISNUMBER(SEARCH(":1",AC33)),"已验证有效",IF(ISNUMBER(SEARCH(":3",AC33)),"验证不确定",IF(ISNUMBER(SEARCH(":0",AC33)),"接口未能检测",IF(ISNUMBER(SEARCH(":2",AC33)),"判定无效",IF(V33&lt;&gt;"","官网已确认-未验证","无邮箱")))))</x:f>
        <x:v>已验证有效</x:v>
      </x:c>
      <x:c r="I33" s="30" t="str"/>
      <x:c r="J33" s="30" t="str"/>
      <x:c r="K33" s="35" t="n">
        <x:f>ROUND((IF(H33="已验证有效",40,IF(V33&lt;&gt;"",20,0))+IF(ISNUMBER(SEARCH("状态1",Y33)),25,0)+IF(J33&lt;&gt;"",20,0)+IF(AA33&lt;&gt;"",15,0))/100,2)</x:f>
        <x:v>0.4</x:v>
      </x:c>
      <x:c r="L33" s="30" t="str">
        <x:v>待联系</x:v>
      </x:c>
      <x:c r="M33" s="30" t="str"/>
      <x:c r="N33" s="30" t="str">
        <x:v>Baldwin Park, California</x:v>
      </x:c>
      <x:c r="O33" s="30" t="str"/>
      <x:c r="P33" s="30" t="str">
        <x:v>暂无经营范围信息</x:v>
      </x:c>
      <x:c r="Q33" s="32" t="n">
        <x:v>16</x:v>
      </x:c>
      <x:c r="R33" s="32" t="n">
        <x:v>20871</x:v>
      </x:c>
      <x:c r="S33" s="33" t="n">
        <x:v>0.0008</x:v>
      </x:c>
      <x:c r="T33" s="34" t="n">
        <x:v>46203.666666666664</x:v>
      </x:c>
      <x:c r="U33" s="30" t="str">
        <x:v>info@jryexpress.com</x:v>
      </x:c>
      <x:c r="V33" s="30" t="str"/>
      <x:c r="W33" s="30" t="str"/>
      <x:c r="X33" s="30" t="str"/>
      <x:c r="Y33" s="30" t="str"/>
      <x:c r="Z33" s="30" t="str"/>
      <x:c r="AA33" s="30" t="str"/>
      <x:c r="AB33" s="30" t="str"/>
      <x:c r="AC33" s="30" t="str">
        <x:v>info@jryexpress.com:1</x:v>
      </x:c>
      <x:c r="AD33" s="30" t="str"/>
      <x:c r="AE33" s="30" t="str"/>
      <x:c r="AF33" s="30" t="str">
        <x:v>PLASTIC ICE BUCKET PLASTIC ICE BUCKET @ XXXXXXXXXXXXXXX@@ XXXXXXXXXXXXXX</x:v>
      </x:c>
      <x:c r="AG33" s="30" t="str"/>
      <x:c r="AH33" s="30" t="str"/>
      <x:c r="AI33" s="30" t="str"/>
      <x:c r="AJ33" s="30" t="str">
        <x:v>塑料桶</x:v>
      </x:c>
      <x:c r="AK33" s="30" t="str">
        <x:v>expansion-search-plastic-bucket-page-03</x:v>
      </x:c>
      <x:c r="AL33" s="30" t="str">
        <x:v>UpKuajing customs company contact API</x:v>
      </x:c>
      <x:c r="AM33" s="30" t="str"/>
      <x:c r="AN33" s="30" t="str"/>
      <x:c r="AO33" s="34" t="n">
        <x:v>46220</x:v>
      </x:c>
    </x:row>
    <x:row r="34" ht="44" customHeight="1">
      <x:c r="A34" s="30" t="str">
        <x:v>API联系方式已获取</x:v>
      </x:c>
      <x:c r="B34" s="30" t="str">
        <x:v>高-欧美</x:v>
      </x:c>
      <x:c r="C34" s="30" t="str">
        <x:v>塑料桶</x:v>
      </x:c>
      <x:c r="D34" s="31" t="str">
        <x:v>213847</x:v>
      </x:c>
      <x:c r="E34" s="30" t="str">
        <x:v>verka foods international</x:v>
      </x:c>
      <x:c r="F34" s="30" t="str">
        <x:v>美国</x:v>
      </x:c>
      <x:c r="G34" s="30" t="str">
        <x:v>info@verka.ca</x:v>
      </x:c>
      <x:c r="H34" s="30" t="str">
        <x:f>IF(ISNUMBER(SEARCH(":1",AC34)),"已验证有效",IF(ISNUMBER(SEARCH(":3",AC34)),"验证不确定",IF(ISNUMBER(SEARCH(":0",AC34)),"接口未能检测",IF(ISNUMBER(SEARCH(":2",AC34)),"判定无效",IF(V34&lt;&gt;"","官网已确认-未验证","无邮箱")))))</x:f>
        <x:v>已验证有效</x:v>
      </x:c>
      <x:c r="I34" s="30" t="str">
        <x:v>+1 604-507-3300</x:v>
      </x:c>
      <x:c r="J34" s="30" t="str">
        <x:v>http://www.verka.ca</x:v>
      </x:c>
      <x:c r="K34" s="35" t="n">
        <x:f>ROUND((IF(H34="已验证有效",40,IF(V34&lt;&gt;"",20,0))+IF(ISNUMBER(SEARCH("状态1",Y34)),25,0)+IF(J34&lt;&gt;"",20,0)+IF(AA34&lt;&gt;"",15,0))/100,2)</x:f>
        <x:v>1</x:v>
      </x:c>
      <x:c r="L34" s="30" t="str">
        <x:v>待联系</x:v>
      </x:c>
      <x:c r="M34" s="30" t="str"/>
      <x:c r="N34" s="30" t="str">
        <x:v>48-13320 78 avenue,surrey, bc,v3w 0h6 canada</x:v>
      </x:c>
      <x:c r="O34" s="30" t="str"/>
      <x:c r="P34" s="30" t="str">
        <x:v>甘蔗，套件，23，板，茉莉花，钢笔，带壳花生，无发票，青少年，运费预付，增值税，凝灰岩，25公斤塑料袋，个人防护用品袋，大袋1000公斤</x:v>
      </x:c>
      <x:c r="Q34" s="32" t="n">
        <x:v>15</x:v>
      </x:c>
      <x:c r="R34" s="32" t="n">
        <x:v>2864</x:v>
      </x:c>
      <x:c r="S34" s="33" t="n">
        <x:v>0.0052</x:v>
      </x:c>
      <x:c r="T34" s="34" t="n">
        <x:v>45963.666666666664</x:v>
      </x:c>
      <x:c r="U34" s="30" t="str">
        <x:v>info@verka.ca</x:v>
      </x:c>
      <x:c r="V34" s="30" t="str"/>
      <x:c r="W34" s="30" t="str">
        <x:v>+1 604-507-3300</x:v>
      </x:c>
      <x:c r="X34" s="30" t="str"/>
      <x:c r="Y34" s="30" t="str">
        <x:v>+1 604-507-3300:状态1/类型3/WhatsApp2</x:v>
      </x:c>
      <x:c r="Z34" s="30" t="str"/>
      <x:c r="AA34" s="30" t="str">
        <x:v>https://www.facebook.com/netfirmsfans; https://twitter.com/netfirms</x:v>
      </x:c>
      <x:c r="AB34" s="30" t="str"/>
      <x:c r="AC34" s="30" t="str">
        <x:v>info@verka.ca:1</x:v>
      </x:c>
      <x:c r="AD34" s="30" t="str">
        <x:v>塑料桶</x:v>
      </x:c>
      <x:c r="AE34" s="30" t="str">
        <x:v>塑料；Bucket</x:v>
      </x:c>
      <x:c r="AF34" s="30" t="str">
        <x:v>PLASTIC BUCKET&lt;br/&gt;</x:v>
      </x:c>
      <x:c r="AG34" s="30" t="str">
        <x:v>塑料桶；Plastic container；Plastic tub；Plastic can；Plastic bin</x:v>
      </x:c>
      <x:c r="AH34" s="30" t="str">
        <x:v>塑料树脂；Petrochemicals；添加剂；Plastic polymers；Plastic raw materials</x:v>
      </x:c>
      <x:c r="AI34" s="30" t="str">
        <x:v>Home storage；Industrial storage；Agricultural use；Construction use；Cleaning supplies</x:v>
      </x:c>
      <x:c r="AJ34" s="30" t="str">
        <x:v>塑料桶</x:v>
      </x:c>
      <x:c r="AK34" s="30" t="str">
        <x:v>expansion-search-plastic-pail-page-02</x:v>
      </x:c>
      <x:c r="AL34" s="30" t="str">
        <x:v>UpKuajing customs company contact API</x:v>
      </x:c>
      <x:c r="AM34" s="30" t="str"/>
      <x:c r="AN34" s="30" t="str"/>
      <x:c r="AO34" s="34" t="n">
        <x:v>46220</x:v>
      </x:c>
    </x:row>
    <x:row r="35" ht="44" customHeight="1">
      <x:c r="A35" s="30" t="str">
        <x:v>API联系方式已获取</x:v>
      </x:c>
      <x:c r="B35" s="30" t="str">
        <x:v>高-欧美</x:v>
      </x:c>
      <x:c r="C35" s="30" t="str">
        <x:v>塑料桶</x:v>
      </x:c>
      <x:c r="D35" s="31" t="str">
        <x:v>71434950</x:v>
      </x:c>
      <x:c r="E35" s="30" t="str">
        <x:v>KINGS INTERNATIONAL GROUP INC.</x:v>
      </x:c>
      <x:c r="F35" s="30" t="str">
        <x:v>美国</x:v>
      </x:c>
      <x:c r="G35" s="30" t="str">
        <x:v>vincent@kings-international.com</x:v>
      </x:c>
      <x:c r="H35" s="30" t="str">
        <x:f>IF(ISNUMBER(SEARCH(":1",AC35)),"已验证有效",IF(ISNUMBER(SEARCH(":3",AC35)),"验证不确定",IF(ISNUMBER(SEARCH(":0",AC35)),"接口未能检测",IF(ISNUMBER(SEARCH(":2",AC35)),"判定无效",IF(V35&lt;&gt;"","官网已确认-未验证","无邮箱")))))</x:f>
        <x:v>已验证有效</x:v>
      </x:c>
      <x:c r="I35" s="30" t="str">
        <x:v>16263162861</x:v>
      </x:c>
      <x:c r="J35" s="30" t="str"/>
      <x:c r="K35" s="35" t="n">
        <x:f>ROUND((IF(H35="已验证有效",40,IF(V35&lt;&gt;"",20,0))+IF(ISNUMBER(SEARCH("状态1",Y35)),25,0)+IF(J35&lt;&gt;"",20,0)+IF(AA35&lt;&gt;"",15,0))/100,2)</x:f>
        <x:v>0.65</x:v>
      </x:c>
      <x:c r="L35" s="30" t="str">
        <x:v>待联系</x:v>
      </x:c>
      <x:c r="M35" s="30" t="str"/>
      <x:c r="N35" s="30" t="str">
        <x:v>Arcadia, California</x:v>
      </x:c>
      <x:c r="O35" s="30" t="str"/>
      <x:c r="P35" s="30" t="str">
        <x:v>暂无经营范围信息</x:v>
      </x:c>
      <x:c r="Q35" s="32" t="n">
        <x:v>11</x:v>
      </x:c>
      <x:c r="R35" s="32" t="n">
        <x:v>25047</x:v>
      </x:c>
      <x:c r="S35" s="33" t="n">
        <x:v>0.0004</x:v>
      </x:c>
      <x:c r="T35" s="34" t="n">
        <x:v>46171.666666666664</x:v>
      </x:c>
      <x:c r="U35" s="30" t="str">
        <x:v>vincent@kings-international.com</x:v>
      </x:c>
      <x:c r="V35" s="30" t="str"/>
      <x:c r="W35" s="30" t="str">
        <x:v>16263162861; +1 626-523-8677; 6263162861; 6265238677; 6265374718; 6266039969</x:v>
      </x:c>
      <x:c r="X35" s="30" t="str"/>
      <x:c r="Y35" s="30" t="str">
        <x:v>16263162861:状态1/类型2/WhatsApp1; +1 626-523-8677:状态1/类型3/WhatsApp2; 6263162861:状态2/类型0/WhatsApp2; 6265238677:状态2/类型0/WhatsApp2; 6265374718:状态2/类型0/WhatsApp0; 6266039969:状态2/类型0/WhatsApp2</x:v>
      </x:c>
      <x:c r="Z35" s="30" t="str">
        <x:v>16263162861</x:v>
      </x:c>
      <x:c r="AA35" s="30" t="str"/>
      <x:c r="AB35" s="30" t="str"/>
      <x:c r="AC35" s="30" t="str">
        <x:v>vincent@kings-international.com:1</x:v>
      </x:c>
      <x:c r="AD35" s="30" t="str"/>
      <x:c r="AE35" s="30" t="str"/>
      <x:c r="AF35" s="30" t="str">
        <x:v>EMPTY PLASTIC BUCKET SHIPPER LOAD AND COUNT</x:v>
      </x:c>
      <x:c r="AG35" s="30" t="str"/>
      <x:c r="AH35" s="30" t="str"/>
      <x:c r="AI35" s="30" t="str"/>
      <x:c r="AJ35" s="30" t="str">
        <x:v>塑料桶</x:v>
      </x:c>
      <x:c r="AK35" s="30" t="str">
        <x:v>expansion-search-plastic-bucket-page-03</x:v>
      </x:c>
      <x:c r="AL35" s="30" t="str">
        <x:v>UpKuajing customs company contact API</x:v>
      </x:c>
      <x:c r="AM35" s="30" t="str"/>
      <x:c r="AN35" s="30" t="str"/>
      <x:c r="AO35" s="34" t="n">
        <x:v>46220</x:v>
      </x:c>
    </x:row>
    <x:row r="36" ht="44" customHeight="1">
      <x:c r="A36" s="30" t="str">
        <x:v>官网已核验-仅表单与电话</x:v>
      </x:c>
      <x:c r="B36" s="30" t="str">
        <x:v>高-欧美</x:v>
      </x:c>
      <x:c r="C36" s="30" t="str">
        <x:v>遮蔽膜</x:v>
      </x:c>
      <x:c r="D36" s="31" t="str">
        <x:v>229078</x:v>
      </x:c>
      <x:c r="E36" s="30" t="str">
        <x:v>pacoa</x:v>
      </x:c>
      <x:c r="F36" s="30" t="str">
        <x:v>美国</x:v>
      </x:c>
      <x:c r="G36" s="30" t="str">
        <x:v>jtaub@pacoa.com</x:v>
      </x:c>
      <x:c r="H36" s="30" t="str">
        <x:f>IF(ISNUMBER(SEARCH(":1",AC36)),"已验证有效",IF(ISNUMBER(SEARCH(":3",AC36)),"验证不确定",IF(ISNUMBER(SEARCH(":0",AC36)),"接口未能检测",IF(ISNUMBER(SEARCH(":2",AC36)),"判定无效",IF(V36&lt;&gt;"","官网已确认-未验证","无邮箱")))))</x:f>
        <x:v>验证不确定</x:v>
      </x:c>
      <x:c r="I36" s="30" t="str">
        <x:v>516.284.3000</x:v>
      </x:c>
      <x:c r="J36" s="30" t="str">
        <x:v>www.pacoa.com</x:v>
      </x:c>
      <x:c r="K36" s="35" t="n">
        <x:f>ROUND((IF(H36="已验证有效",40,IF(V36&lt;&gt;"",20,0))+IF(ISNUMBER(SEARCH("状态1",Y36)),25,0)+IF(J36&lt;&gt;"",20,0)+IF(AA36&lt;&gt;"",15,0))/100,2)</x:f>
        <x:v>0.6</x:v>
      </x:c>
      <x:c r="L36" s="30" t="str">
        <x:v>待联系</x:v>
      </x:c>
      <x:c r="M36" s="30" t="str"/>
      <x:c r="N36" s="30" t="str">
        <x:v>7 harbor park drive port washington, new york, 11050</x:v>
      </x:c>
      <x:c r="O36" s="30" t="str">
        <x:v>7 HARBOR PARK DR, PORT WASHINGTON, NY 11050, USA</x:v>
      </x:c>
      <x:c r="P36" s="30" t="str">
        <x:v>手动工具，填缝枪，陷阱，扎带，工业塑料，夹子，油漆滚轮，鳕鱼，离子，锤子，鹰，棘轮绑带，油漆网格，抹子铝，杆，木杆，弹力绳，六角扳手，滚轮架</x:v>
      </x:c>
      <x:c r="Q36" s="32" t="n">
        <x:v>11</x:v>
      </x:c>
      <x:c r="R36" s="32" t="n">
        <x:v>1327</x:v>
      </x:c>
      <x:c r="S36" s="33" t="n">
        <x:v>0.0083</x:v>
      </x:c>
      <x:c r="T36" s="34" t="n">
        <x:v>46146.666666666664</x:v>
      </x:c>
      <x:c r="U36" s="30" t="str">
        <x:v>jtaub@pacoa.com; joe1199@live.com</x:v>
      </x:c>
      <x:c r="V36" s="30" t="str"/>
      <x:c r="W36" s="30" t="str">
        <x:v>+1 516-284-3000</x:v>
      </x:c>
      <x:c r="X36" s="30" t="str">
        <x:v>888.284.3000; 516.284.3000</x:v>
      </x:c>
      <x:c r="Y36" s="30" t="str">
        <x:v>+1 516-284-3000:状态1/类型3/WhatsApp2; 888.284.3000:状态3/类型0/WhatsApp0; 516.284.3000:状态1/类型1/WhatsApp2</x:v>
      </x:c>
      <x:c r="Z36" s="30" t="str"/>
      <x:c r="AA36" s="30" t="str">
        <x:v>https://www.linkedin.com/in/joseph-scherrer-0230a11b</x:v>
      </x:c>
      <x:c r="AB36" s="30" t="str">
        <x:v>Website inquiry form</x:v>
      </x:c>
      <x:c r="AC36" s="30" t="str">
        <x:v>jtaub@pacoa.com:3; joe1199@live.com:2</x:v>
      </x:c>
      <x:c r="AD36" s="30" t="str"/>
      <x:c r="AE36" s="30" t="str">
        <x:v>wood；塑料防护布；ipm；警示胶带；sol；遮蔽膜；包装材料；hat；xxxxx</x:v>
      </x:c>
      <x:c r="AF36" s="30" t="str">
        <x:v>2,886 CTNS OF PLASTIC DROP CLOTH, MASKING FILM AND CAUTION TAPE P.O. NO.: XXXXXX WE CERT IFY THAT THIS SHIPMENT CONTAINS NO SOLID WOODPACKING MATERIALS.&lt;br/&gt;</x:v>
      </x:c>
      <x:c r="AG36" s="30" t="str"/>
      <x:c r="AH36" s="30" t="str"/>
      <x:c r="AI36" s="30" t="str"/>
      <x:c r="AJ36" s="30" t="str">
        <x:v>遮蔽膜</x:v>
      </x:c>
      <x:c r="AK36" s="30" t="str">
        <x:v>masking-film-buyers-exact-search</x:v>
      </x:c>
      <x:c r="AL36" s="30" t="str">
        <x:v>UpKuajing customs company contact API; UpKuajing reviewed person contact API</x:v>
      </x:c>
      <x:c r="AM36" s="30" t="str">
        <x:v>https://www.pacoa.com/contactus</x:v>
      </x:c>
      <x:c r="AN36" s="30" t="str">
        <x:v>Official contact page confirmed address, phone numbers and inquiry form; API email was not displayed on the page.; 人物补充：Joseph Scherrer（Assistant Buyer）；采购岗位，且公司精确匹配 PACOA。</x:v>
      </x:c>
      <x:c r="AO36" s="34" t="n">
        <x:v>46220</x:v>
      </x:c>
    </x:row>
    <x:row r="37" ht="44" customHeight="1">
      <x:c r="A37" s="30" t="str">
        <x:v>API联系方式已获取</x:v>
      </x:c>
      <x:c r="B37" s="30" t="str">
        <x:v>高-欧美</x:v>
      </x:c>
      <x:c r="C37" s="30" t="str">
        <x:v>油漆刷</x:v>
      </x:c>
      <x:c r="D37" s="31" t="str">
        <x:v>20357282</x:v>
      </x:c>
      <x:c r="E37" s="30" t="str">
        <x:v>GRIP TIGHT TOOLS</x:v>
      </x:c>
      <x:c r="F37" s="30" t="str">
        <x:v>美国</x:v>
      </x:c>
      <x:c r="G37" s="30" t="str">
        <x:v>info@griptighttools.com</x:v>
      </x:c>
      <x:c r="H37" s="30" t="str">
        <x:f>IF(ISNUMBER(SEARCH(":1",AC37)),"已验证有效",IF(ISNUMBER(SEARCH(":3",AC37)),"验证不确定",IF(ISNUMBER(SEARCH(":0",AC37)),"接口未能检测",IF(ISNUMBER(SEARCH(":2",AC37)),"判定无效",IF(V37&lt;&gt;"","官网已确认-未验证","无邮箱")))))</x:f>
        <x:v>已验证有效</x:v>
      </x:c>
      <x:c r="I37" s="30" t="str">
        <x:v>+1 908-964-3427</x:v>
      </x:c>
      <x:c r="J37" s="30" t="str">
        <x:v>http://www.griptighttools.com/</x:v>
      </x:c>
      <x:c r="K37" s="35" t="n">
        <x:f>ROUND((IF(H37="已验证有效",40,IF(V37&lt;&gt;"",20,0))+IF(ISNUMBER(SEARCH("状态1",Y37)),25,0)+IF(J37&lt;&gt;"",20,0)+IF(AA37&lt;&gt;"",15,0))/100,2)</x:f>
        <x:v>0.85</x:v>
      </x:c>
      <x:c r="L37" s="30" t="str">
        <x:v>待联系</x:v>
      </x:c>
      <x:c r="M37" s="30" t="str"/>
      <x:c r="N37" s="30" t="str">
        <x:v>1413 chestnut avenue hillside, n.j. 07205 usa</x:v>
      </x:c>
      <x:c r="O37" s="30" t="str"/>
      <x:c r="P37" s="30" t="str">
        <x:v>卷筒，橡胶抹刀，75，单杆，低密度聚乙烯颗粒，油漆刷，铝鹰，水，项目编号，冰，内六角扳手，螺丝刀工具，承包商</x:v>
      </x:c>
      <x:c r="Q37" s="32" t="n">
        <x:v>10</x:v>
      </x:c>
      <x:c r="R37" s="32" t="n">
        <x:v>387</x:v>
      </x:c>
      <x:c r="S37" s="33" t="n">
        <x:v>0.0258</x:v>
      </x:c>
      <x:c r="T37" s="34" t="n">
        <x:v>45851.666666666664</x:v>
      </x:c>
      <x:c r="U37" s="30" t="str">
        <x:v>info@griptighttools.com</x:v>
      </x:c>
      <x:c r="V37" s="30" t="str"/>
      <x:c r="W37" s="30" t="str">
        <x:v>+1 908-964-3427</x:v>
      </x:c>
      <x:c r="X37" s="30" t="str"/>
      <x:c r="Y37" s="30" t="str">
        <x:v>+1 908-964-3427:状态1/类型3/WhatsApp2</x:v>
      </x:c>
      <x:c r="Z37" s="30" t="str"/>
      <x:c r="AA37" s="30" t="str"/>
      <x:c r="AB37" s="30" t="str"/>
      <x:c r="AC37" s="30" t="str">
        <x:v>info@griptighttools.com:1</x:v>
      </x:c>
      <x:c r="AD37" s="30" t="str">
        <x:v>Paint Roller；油漆刷；Plastic Tray；Foam Brush</x:v>
      </x:c>
      <x:c r="AE37" s="30" t="str">
        <x:v>Paint；Roller；刷子；塑料；Foam</x:v>
      </x:c>
      <x:c r="AF37" s="30" t="str">
        <x:v>PAINT ROLLER PAINT BRUSH PLASTIC TRAY FOAM BRUSH </x:v>
      </x:c>
      <x:c r="AG37" s="30" t="str">
        <x:v>Paint Applicator；Paint Spreaders；Paint Container；Paint Applicator Brush</x:v>
      </x:c>
      <x:c r="AH37" s="30" t="str">
        <x:v>塑料树脂；Foam Material；Wood；金属；Fiber</x:v>
      </x:c>
      <x:c r="AI37" s="30" t="str">
        <x:v>Home Decoration；Automobile Painting；Furniture Painting；Wall Painting；Industrial Painting</x:v>
      </x:c>
      <x:c r="AJ37" s="30" t="str">
        <x:v>油漆刷</x:v>
      </x:c>
      <x:c r="AK37" s="30" t="str">
        <x:v>expansion-search-paint-brush-page-03</x:v>
      </x:c>
      <x:c r="AL37" s="30" t="str">
        <x:v>UpKuajing customs company contact API</x:v>
      </x:c>
      <x:c r="AM37" s="30" t="str"/>
      <x:c r="AN37" s="30" t="str"/>
      <x:c r="AO37" s="34" t="n">
        <x:v>46220</x:v>
      </x:c>
    </x:row>
    <x:row r="38" ht="44" customHeight="1">
      <x:c r="A38" s="30" t="str">
        <x:v>API联系方式已获取</x:v>
      </x:c>
      <x:c r="B38" s="30" t="str">
        <x:v>高-欧美</x:v>
      </x:c>
      <x:c r="C38" s="30" t="str">
        <x:v>塑料桶</x:v>
      </x:c>
      <x:c r="D38" s="31" t="str">
        <x:v>71441992</x:v>
      </x:c>
      <x:c r="E38" s="30" t="str">
        <x:v>LONGSAIL USA CORPORATION</x:v>
      </x:c>
      <x:c r="F38" s="30" t="str">
        <x:v>美国</x:v>
      </x:c>
      <x:c r="G38" s="30" t="str">
        <x:v>info.lax@longsailing.net</x:v>
      </x:c>
      <x:c r="H38" s="30" t="str">
        <x:f>IF(ISNUMBER(SEARCH(":1",AC38)),"已验证有效",IF(ISNUMBER(SEARCH(":3",AC38)),"验证不确定",IF(ISNUMBER(SEARCH(":0",AC38)),"接口未能检测",IF(ISNUMBER(SEARCH(":2",AC38)),"判定无效",IF(V38&lt;&gt;"","官网已确认-未验证","无邮箱")))))</x:f>
        <x:v>已验证有效</x:v>
      </x:c>
      <x:c r="I38" s="30" t="str">
        <x:v>+1 626-386-8828</x:v>
      </x:c>
      <x:c r="J38" s="30" t="str"/>
      <x:c r="K38" s="35" t="n">
        <x:f>ROUND((IF(H38="已验证有效",40,IF(V38&lt;&gt;"",20,0))+IF(ISNUMBER(SEARCH("状态1",Y38)),25,0)+IF(J38&lt;&gt;"",20,0)+IF(AA38&lt;&gt;"",15,0))/100,2)</x:f>
        <x:v>0.65</x:v>
      </x:c>
      <x:c r="L38" s="30" t="str">
        <x:v>待联系</x:v>
      </x:c>
      <x:c r="M38" s="30" t="str"/>
      <x:c r="N38" s="30" t="str">
        <x:v>Walnut, California</x:v>
      </x:c>
      <x:c r="O38" s="30" t="str"/>
      <x:c r="P38" s="30" t="str">
        <x:v>暂无经营范围信息</x:v>
      </x:c>
      <x:c r="Q38" s="32" t="n">
        <x:v>10</x:v>
      </x:c>
      <x:c r="R38" s="32" t="n">
        <x:v>23964</x:v>
      </x:c>
      <x:c r="S38" s="33" t="n">
        <x:v>0.0004</x:v>
      </x:c>
      <x:c r="T38" s="34" t="n">
        <x:v>46133.666666666664</x:v>
      </x:c>
      <x:c r="U38" s="30" t="str">
        <x:v>info.lax@longsailing.net</x:v>
      </x:c>
      <x:c r="V38" s="30" t="str"/>
      <x:c r="W38" s="30" t="str">
        <x:v>+1 626-386-8828; 6263868822; 6263868828; 9093782888</x:v>
      </x:c>
      <x:c r="X38" s="30" t="str"/>
      <x:c r="Y38" s="30" t="str">
        <x:v>+1 626-386-8828:状态1/类型3/WhatsApp2; 6263868822:状态2/类型0/WhatsApp0; 6263868828:状态2/类型0/WhatsApp2; 9093782888:状态2/类型0/WhatsApp2</x:v>
      </x:c>
      <x:c r="Z38" s="30" t="str"/>
      <x:c r="AA38" s="30" t="str"/>
      <x:c r="AB38" s="30" t="str"/>
      <x:c r="AC38" s="30" t="str">
        <x:v>info.lax@longsailing.net:1</x:v>
      </x:c>
      <x:c r="AD38" s="30" t="str"/>
      <x:c r="AE38" s="30" t="str"/>
      <x:c r="AF38" s="30" t="str">
        <x:v>PLASTIC BUCKET PLASTIC BUCKET THIS SHIPMENT CONTAINS NO SOLID WOOD PACKING MATERIALS @PROVINCE, P.R. CHINA ZIP CODE TEL -</x:v>
      </x:c>
      <x:c r="AG38" s="30" t="str"/>
      <x:c r="AH38" s="30" t="str"/>
      <x:c r="AI38" s="30" t="str"/>
      <x:c r="AJ38" s="30" t="str">
        <x:v>塑料桶</x:v>
      </x:c>
      <x:c r="AK38" s="30" t="str">
        <x:v>expansion-search-plastic-bucket-page-03</x:v>
      </x:c>
      <x:c r="AL38" s="30" t="str">
        <x:v>UpKuajing customs company contact API</x:v>
      </x:c>
      <x:c r="AM38" s="30" t="str"/>
      <x:c r="AN38" s="30" t="str"/>
      <x:c r="AO38" s="34" t="n">
        <x:v>46220</x:v>
      </x:c>
    </x:row>
    <x:row r="39" ht="44" customHeight="1">
      <x:c r="A39" s="30" t="str">
        <x:v>官网已核验-API邮箱已确认</x:v>
      </x:c>
      <x:c r="B39" s="30" t="str">
        <x:v>高-欧美</x:v>
      </x:c>
      <x:c r="C39" s="30" t="str">
        <x:v>遮蔽膜</x:v>
      </x:c>
      <x:c r="D39" s="31" t="str">
        <x:v>209484</x:v>
      </x:c>
      <x:c r="E39" s="30" t="str">
        <x:v>thermwell products</x:v>
      </x:c>
      <x:c r="F39" s="30" t="str">
        <x:v>美国</x:v>
      </x:c>
      <x:c r="G39" s="30" t="str">
        <x:v>support@frostking.com</x:v>
      </x:c>
      <x:c r="H39" s="30" t="str">
        <x:f>IF(ISNUMBER(SEARCH(":1",AC39)),"已验证有效",IF(ISNUMBER(SEARCH(":3",AC39)),"验证不确定",IF(ISNUMBER(SEARCH(":0",AC39)),"接口未能检测",IF(ISNUMBER(SEARCH(":2",AC39)),"判定无效",IF(V39&lt;&gt;"","官网已确认-未验证","无邮箱")))))</x:f>
        <x:v>验证不确定</x:v>
      </x:c>
      <x:c r="I39" s="30" t="str">
        <x:v>+1 201-684-4400</x:v>
      </x:c>
      <x:c r="J39" s="30" t="str">
        <x:v>http://www.frostking.com/</x:v>
      </x:c>
      <x:c r="K39" s="35" t="n">
        <x:f>ROUND((IF(H39="已验证有效",40,IF(V39&lt;&gt;"",20,0))+IF(ISNUMBER(SEARCH("状态1",Y39)),25,0)+IF(J39&lt;&gt;"",20,0)+IF(AA39&lt;&gt;"",15,0))/100,2)</x:f>
        <x:v>0.65</x:v>
      </x:c>
      <x:c r="L39" s="30" t="str">
        <x:v>待联系</x:v>
      </x:c>
      <x:c r="M39" s="30" t="str"/>
      <x:c r="N39" s="30" t="str">
        <x:v>420 rt. 17 south.mahwah, nj 07430</x:v>
      </x:c>
      <x:c r="O39" s="30" t="str">
        <x:v>420 Route 17 South, Mahwah, NJ 07430, USA</x:v>
      </x:c>
      <x:c r="P39" s="30" t="str">
        <x:v>车库，电动车，橡胶插件，地板，高立方体，联合国编号，黑色乙烯基，密封条，铝箔管道，片材，计数，日出，套件，工具车，100，艾琳，替换密封件，车库门，密封套件，1</x:v>
      </x:c>
      <x:c r="Q39" s="32" t="n">
        <x:v>10</x:v>
      </x:c>
      <x:c r="R39" s="32" t="n">
        <x:v>8113</x:v>
      </x:c>
      <x:c r="S39" s="33" t="n">
        <x:v>0.0012</x:v>
      </x:c>
      <x:c r="T39" s="34" t="n">
        <x:v>46147.666666666664</x:v>
      </x:c>
      <x:c r="U39" s="30" t="str">
        <x:v>support@frostking.com</x:v>
      </x:c>
      <x:c r="V39" s="30" t="str">
        <x:v>support@frostking.com</x:v>
      </x:c>
      <x:c r="W39" s="30" t="str">
        <x:v>+1 201-684-4400</x:v>
      </x:c>
      <x:c r="X39" s="30" t="str">
        <x:v>201-684-4400; 775-331-5291</x:v>
      </x:c>
      <x:c r="Y39" s="30" t="str">
        <x:v>+1 201-684-4400:状态1/类型2/WhatsApp2; 201-684-4400:状态2/类型3/WhatsApp2; 775-331-5291:状态3/类型0/WhatsApp0</x:v>
      </x:c>
      <x:c r="Z39" s="30" t="str"/>
      <x:c r="AA39" s="30" t="str"/>
      <x:c r="AB39" s="30" t="str">
        <x:v>Official email and website inquiry form</x:v>
      </x:c>
      <x:c r="AC39" s="30" t="str">
        <x:v>support@frostking.com:3</x:v>
      </x:c>
      <x:c r="AD39" s="30" t="str"/>
      <x:c r="AE39" s="30" t="str">
        <x:v>塑料遮蔽膜</x:v>
      </x:c>
      <x:c r="AF39" s="30" t="str">
        <x:v>PLASTIC MASKING FILM,HS:392010&lt;br/&gt;</x:v>
      </x:c>
      <x:c r="AG39" s="30" t="str"/>
      <x:c r="AH39" s="30" t="str"/>
      <x:c r="AI39" s="30" t="str"/>
      <x:c r="AJ39" s="30" t="str">
        <x:v>遮蔽膜</x:v>
      </x:c>
      <x:c r="AK39" s="30" t="str">
        <x:v>masking-film-buyers-exact-search</x:v>
      </x:c>
      <x:c r="AL39" s="30" t="str">
        <x:v>UpKuajing customs company contact API</x:v>
      </x:c>
      <x:c r="AM39" s="30" t="str">
        <x:v>https://www.frostking.com/contact; https://www.frostking.com/accessibility-statement</x:v>
      </x:c>
      <x:c r="AN39" s="30" t="str">
        <x:v>Official accessibility page confirms support@frostking.com, matching the API email.</x:v>
      </x:c>
      <x:c r="AO39" s="34" t="n">
        <x:v>46220</x:v>
      </x:c>
    </x:row>
    <x:row r="40" ht="44" customHeight="1">
      <x:c r="A40" s="30" t="str">
        <x:v>API联系方式已获取</x:v>
      </x:c>
      <x:c r="B40" s="30" t="str">
        <x:v>高-欧美</x:v>
      </x:c>
      <x:c r="C40" s="30" t="str">
        <x:v>塑料桶</x:v>
      </x:c>
      <x:c r="D40" s="31" t="str">
        <x:v>226094</x:v>
      </x:c>
      <x:c r="E40" s="30" t="str">
        <x:v>walgreen co</x:v>
      </x:c>
      <x:c r="F40" s="30" t="str">
        <x:v>美国</x:v>
      </x:c>
      <x:c r="G40" s="30" t="str">
        <x:v>customerservice@mail2.walgreens.com</x:v>
      </x:c>
      <x:c r="H40" s="30" t="str">
        <x:f>IF(ISNUMBER(SEARCH(":1",AC40)),"已验证有效",IF(ISNUMBER(SEARCH(":3",AC40)),"验证不确定",IF(ISNUMBER(SEARCH(":0",AC40)),"接口未能检测",IF(ISNUMBER(SEARCH(":2",AC40)),"判定无效",IF(V40&lt;&gt;"","官网已确认-未验证","无邮箱")))))</x:f>
        <x:v>判定无效</x:v>
      </x:c>
      <x:c r="I40" s="30" t="str">
        <x:v>+1 877-250-5823</x:v>
      </x:c>
      <x:c r="J40" s="30" t="str">
        <x:v>http://www.walgreens.com/</x:v>
      </x:c>
      <x:c r="K40" s="35" t="n">
        <x:f>ROUND((IF(H40="已验证有效",40,IF(V40&lt;&gt;"",20,0))+IF(ISNUMBER(SEARCH("状态1",Y40)),25,0)+IF(J40&lt;&gt;"",20,0)+IF(AA40&lt;&gt;"",15,0))/100,2)</x:f>
        <x:v>0.45</x:v>
      </x:c>
      <x:c r="L40" s="30" t="str">
        <x:v>待联系</x:v>
      </x:c>
      <x:c r="M40" s="30" t="str"/>
      <x:c r="N40" s="30" t="str">
        <x:v>200 wilmot road deerfield, il 60015</x:v>
      </x:c>
      <x:c r="O40" s="30" t="str"/>
      <x:c r="P40" s="30" t="str">
        <x:v>成人通气管、腮红刷、吸管、学生、、、陶氏、夹扇、床单枕、清洁套装、灯罩、麻将、纸文具、素描本、幼崽、邮车、、乐队、小狗训练垫、丁腈</x:v>
      </x:c>
      <x:c r="Q40" s="32" t="n">
        <x:v>10</x:v>
      </x:c>
      <x:c r="R40" s="32" t="n">
        <x:v>57506</x:v>
      </x:c>
      <x:c r="S40" s="33" t="n">
        <x:v>0.0002</x:v>
      </x:c>
      <x:c r="T40" s="34" t="n">
        <x:v>46203.666666666664</x:v>
      </x:c>
      <x:c r="U40" s="30" t="str">
        <x:v>customerservice@mail2.walgreens.com</x:v>
      </x:c>
      <x:c r="V40" s="30" t="str"/>
      <x:c r="W40" s="30" t="str">
        <x:v>+1 877-250-5823</x:v>
      </x:c>
      <x:c r="X40" s="30" t="str"/>
      <x:c r="Y40" s="30" t="str">
        <x:v>+1 877-250-5823:状态1/类型3/WhatsApp2</x:v>
      </x:c>
      <x:c r="Z40" s="30" t="str"/>
      <x:c r="AA40" s="30" t="str"/>
      <x:c r="AB40" s="30" t="str"/>
      <x:c r="AC40" s="30" t="str">
        <x:v>customerservice@mail2.walgreens.com:2</x:v>
      </x:c>
      <x:c r="AD40" s="30" t="str"/>
      <x:c r="AE40" s="30" t="str">
        <x:v>dvdr；plush stuffed toy；dh；胶带；plastics；lv；melon；lamp parts；ticl；folding knife；胶粘剂；registers；i cat；s 30；exfo；e stick；base material；face brush set；kabuki brush；handtools；notes；kitchen linen；instrument；pink eraser；fittings；chain；manmade fiber；jar；stopper；clor；wexford；ice cube tray；silicone jar；rtc；bandage；base metal；plastic fastener；acme；wood；ipm</x:v>
      </x:c>
      <x:c r="AF40" s="30" t="str">
        <x:v>ADHESIVE DRESSINGS AND OTHER ARTCL HAVING ADHPOXXXXXXXXXX WALG FLEX FABRIC BANDAGE ASST 30S HTS3005105000 POXXXXXXXXXX WALG SOFT FABRIC BAND 2X4 IN XL 10S HTS3005105000 POXXXXXXXXXX WALG SOFT FABRIC BANDAGE ASST 30S HTS3005105000 POXXXXXXXXXX WALG CLOTH TAPE ROLL 1 IN X10YDS2S HTS3005105000 POXXXXXXXXXX WALG WTRPRF ADHV TAPE 1/2 IN X 5YD HTS3005105000 WADDING GAUZE AND SIMILAR ARTICLES ETC NESOI POXXXXXXXXXX WALG ADHESIVE GRIP WRAP 3 IN X 1.9YD HTS3005905090 ART FOR CONVEYING OR PACKING OF GOODS PLAST POXXXXXXXXXX T/T WALG SILICONE JAR MLT 4S ASTHTS3923900080 TABLEWARE AND KITCHENWARE OF PLASTICS POXXXXXXXXXX WALG ICE CUBE TRAYS HTS3924104000 HOUSEHOLD AND TOILET ARTICLES NESOI OF PLASTIPOXXXXXXXXXX CH STORAGE BASKET LARGE HTS3924905650 POXXXXXXXXXX NOTE HOLDER - CLOUD HTS3924905650 HTS4820102020 HTS9608100000 POXXXXXXXXXX WALG BATH POUF EXFOLIATNG HTS3924905650 POXXXXXXXXXX WAG M 2IN1 MSH SPNG 1S HTS3924905650 OFFICE OR SCHOOL SUPPLIES OF PLASTIC POXXXXXXXXXX WEXFORD PENCIL BOX AST HTS3926100000 POXXXXXXXXXX PLUSH JOURNAL NOTEBOOK HTS3926100000 HTS4820102060 POXXXXXXXXXX WEXFORD PINK ERASERS 2S HTS3926100000 FITTINGS FOR FURNITURE COACHWORK ETC OF PLA POXXXXXXXXXX LAMP PARTS(PLASTIC FASTENER) HTS3926305000 ARTICLES OF PLASTICS NESOI POXXXXXXXXXX SEASONAL PLASTIC PAIL HTS3926901000 ERASERS OF VULCANIZED RUBBER POXXXXXXXXXX ERASERJAR - 2ASST HTS4016920000 OTHER ARTICLES OF VULCANIZED RUBBER POXXXXXXXXXX C/H TUB STOPPER W/ CHAIN 1CT HTS4016991500 REGISTERS ACCT BKS NOTEBKS LETTER PAD ETC PPRPOXXXXXXXXXX STICKOFBUTTERNOTES HTS4820102020 POXXXXXXXXXX PASTRY AND WAFFLE STICKY NOTE ASST HTS4820102020 ARTICLES OF PPR PULP PPR PPRBRD CELLULSE ETC POXXXXXXXXXX WEXFORD COIN WRAPPERS HTS4823908680 POXXXXXXXXXX WEXFORD INDX DVDR CLOR TAB 5S PPR HTS4823908680 TOILET KITCHEN LINEN OF MANMADE FIBERS POXXXXXXXXXX WALG MESH BATH SHOWR GLVS HTS6302932000 OTHER MADE UP TEXTILE ARTICLES POXXXXXXXXXX PET TOYS HTS6307907500 ABRASIVES ON A BASE OF PAPER OR PAPERBOARD ONPOXXXXXXXXXX WALG CURVED FOOT FILE HTS6805200000 ABRASIVES ON A BASE MATERIAL OTH THN FABRC O POXXXXXXXXXX WALG CRYSTAL HAIR REMOVER HTS6805305000 NAILS TACKS DRAWING PINS ETC OF IRON OR STE POXXXXXXXXXX WEXFORD THUMBTACKS 200S HTS7317001000 HOUSEHOLD HAND TOOLS NESOI AND PARTS BASE ME POXXXXXXXXXX WALG FRUIT AND VEGETABLE PEELER HTS8205513030 SERVICE CONTRACT NO. XXXXXX THIS SHIPMENT CONTAINS NO WOOD PACKAGING MATERIAL THIS SHIPMENT CONTAINS NO WOOD PACKAGING MATERIAL HANDTOOLS NESOI AND BASE METAL PARTS THEREOF POXXXXXXXXXX WEXFORD MINI STAPLER HTS8205595560 KNVS HVG OTH TH FXD BLDS A PTS EXC BLDS POXXXXXXXXXX WEXFORD PRECSION KNIFE HTS8211930060 POXXXXXXXXXX FOLDING KNIFE HTS8211930035 DRAWNG MARKNG-OUT MATH CALCULTNG INS EX DRFT POXXXXXXXXXX WEXFORD MATH KIT HTS9017208080 INSTRUMENTS FOR MEASURING LENGTH NESOI POXXXXXXXXXX ACME ALUMINUM RULER 12IN ASMT HTS9017800000 MED NEEDLES. NESOI CATHERERS ETC AND PARTS E POXXXXXXXXXX WALG LANCETS 30G REG 100S HTS9018390050 HTS98170096 TRICYCLES SCOOTERS PEDAL CARS AND SIMILAR W POXXXXXXXXXX SQUEEZE CHEESE HTS9503000073 POXXXXXXXXXX PLUSH STUFFED TOYS HTS9503000090 SHAVING BRUSHES HAIRBRUSHES ETC FOR PERSON POXXXXXXXXXX WALG SFT BRISTLE BRSH W/HNDL 1S HTS9603298090 ARTISTS BRUSHES SIMILAR BRUSHES FOR COSEMT POXXXXXXXXXX WALG BTY KABUKI BRUSH 1S HTS9603306000 POXXXXXXXXXX WALG BTY TOTAL FACE BRUSH SET HTS9603306000 POXXXXXXXXXX WALG BTY EYE BRUSH SET 6 S HTS9603306000 HTS9616200000 BALL POINT PENS POXXXXXXXXXX WEXFORD BLUE STICK BALLPOINT PEN20S HTS9608100000 POXXXXXXXXXX PEN PURPLE HTS9608100000 POXXXXXXXXXX PEN WATERMELON HTS9608100000 POXXXXXXXXXX PEN RAINBOW HTS9608100000 POXXXXXXXXXX PEN WHITE HTS9608100000 POXXXXXXXXXX PEN AQUE HTS9608100000 POXXXXXXXXXX PEN OMBRE HTS9608100000 POXXXXXXXXXX WIGGLYPENS-3ASST HTS9608100000&lt;br/&gt;</x:v>
      </x:c>
      <x:c r="AG40" s="30" t="str"/>
      <x:c r="AH40" s="30" t="str"/>
      <x:c r="AI40" s="30" t="str"/>
      <x:c r="AJ40" s="30" t="str">
        <x:v>塑料桶</x:v>
      </x:c>
      <x:c r="AK40" s="30" t="str">
        <x:v>expansion-search-plastic-pail-page-02; expansion-search-plastic-pail-page-03</x:v>
      </x:c>
      <x:c r="AL40" s="30" t="str">
        <x:v>UpKuajing customs company contact API</x:v>
      </x:c>
      <x:c r="AM40" s="30" t="str"/>
      <x:c r="AN40" s="30" t="str"/>
      <x:c r="AO40" s="34" t="n">
        <x:v>46220</x:v>
      </x:c>
    </x:row>
    <x:row r="41" ht="44" customHeight="1">
      <x:c r="A41" s="30" t="str">
        <x:v>API联系方式已获取</x:v>
      </x:c>
      <x:c r="B41" s="30" t="str">
        <x:v>高-欧美</x:v>
      </x:c>
      <x:c r="C41" s="30" t="str">
        <x:v>PVC护角条</x:v>
      </x:c>
      <x:c r="D41" s="31" t="str">
        <x:v>71403858</x:v>
      </x:c>
      <x:c r="E41" s="30" t="str">
        <x:v>ETS SCM US INC.</x:v>
      </x:c>
      <x:c r="F41" s="30" t="str">
        <x:v>美国</x:v>
      </x:c>
      <x:c r="G41" s="30" t="str">
        <x:v>cs-us@qdets.com</x:v>
      </x:c>
      <x:c r="H41" s="30" t="str">
        <x:f>IF(ISNUMBER(SEARCH(":1",AC41)),"已验证有效",IF(ISNUMBER(SEARCH(":3",AC41)),"验证不确定",IF(ISNUMBER(SEARCH(":0",AC41)),"接口未能检测",IF(ISNUMBER(SEARCH(":2",AC41)),"判定无效",IF(V41&lt;&gt;"","官网已确认-未验证","无邮箱")))))</x:f>
        <x:v>已验证有效</x:v>
      </x:c>
      <x:c r="I41" s="30" t="str">
        <x:v>+1 626-879-5976</x:v>
      </x:c>
      <x:c r="J41" s="30" t="str"/>
      <x:c r="K41" s="35" t="n">
        <x:f>ROUND((IF(H41="已验证有效",40,IF(V41&lt;&gt;"",20,0))+IF(ISNUMBER(SEARCH("状态1",Y41)),25,0)+IF(J41&lt;&gt;"",20,0)+IF(AA41&lt;&gt;"",15,0))/100,2)</x:f>
        <x:v>0.65</x:v>
      </x:c>
      <x:c r="L41" s="30" t="str">
        <x:v>待联系</x:v>
      </x:c>
      <x:c r="M41" s="30" t="str"/>
      <x:c r="N41" s="30" t="str">
        <x:v>Pomona, California</x:v>
      </x:c>
      <x:c r="O41" s="30" t="str"/>
      <x:c r="P41" s="30" t="str">
        <x:v>暂无经营范围信息</x:v>
      </x:c>
      <x:c r="Q41" s="32" t="n">
        <x:v>9</x:v>
      </x:c>
      <x:c r="R41" s="32" t="n">
        <x:v>5718</x:v>
      </x:c>
      <x:c r="S41" s="33" t="n">
        <x:v>0.0016</x:v>
      </x:c>
      <x:c r="T41" s="34" t="n">
        <x:v>46146.666666666664</x:v>
      </x:c>
      <x:c r="U41" s="30" t="str">
        <x:v>cs-us@qdets.com</x:v>
      </x:c>
      <x:c r="V41" s="30" t="str"/>
      <x:c r="W41" s="30" t="str">
        <x:v>6268795976; +1 626-879-5976</x:v>
      </x:c>
      <x:c r="X41" s="30" t="str"/>
      <x:c r="Y41" s="30" t="str">
        <x:v>6268795976:状态2/类型0/WhatsApp0; +1 626-879-5976:状态1/类型3/WhatsApp2</x:v>
      </x:c>
      <x:c r="Z41" s="30" t="str"/>
      <x:c r="AA41" s="30" t="str"/>
      <x:c r="AB41" s="30" t="str"/>
      <x:c r="AC41" s="30" t="str">
        <x:v>cs-us@qdets.com:1</x:v>
      </x:c>
      <x:c r="AD41" s="30" t="str">
        <x:v>PVC护角条</x:v>
      </x:c>
      <x:c r="AE41" s="30" t="str">
        <x:v>PVC；Corner bead</x:v>
      </x:c>
      <x:c r="AF41" s="30" t="str">
        <x:v>HS CODE: 392590 PVC CORNER BEAD; PVC CORNER BEAD</x:v>
      </x:c>
      <x:c r="AG41" s="30" t="str">
        <x:v>PVC护角条；PVC edge bead；Plastic corner bead；PVC corner trim；PVC corner molding</x:v>
      </x:c>
      <x:c r="AH41" s="30" t="str">
        <x:v>PVC resin；增塑剂；Stabilizer；Filler；Pigment</x:v>
      </x:c>
      <x:c r="AI41" s="30" t="str">
        <x:v>建筑工程；Interior decoration；Wall finishing；Ceiling installation；家具制造</x:v>
      </x:c>
      <x:c r="AJ41" s="30" t="str">
        <x:v>PVC护角条</x:v>
      </x:c>
      <x:c r="AK41" s="30" t="str">
        <x:v>expansion-search-pvc-corner-bead-page-01; expansion-search-pvc-corner-protector-page-01</x:v>
      </x:c>
      <x:c r="AL41" s="30" t="str">
        <x:v>UpKuajing customs company contact API</x:v>
      </x:c>
      <x:c r="AM41" s="30" t="str"/>
      <x:c r="AN41" s="30" t="str"/>
      <x:c r="AO41" s="34" t="n">
        <x:v>46220</x:v>
      </x:c>
    </x:row>
    <x:row r="42" ht="44" customHeight="1">
      <x:c r="A42" s="30" t="str">
        <x:v>API联系方式已获取</x:v>
      </x:c>
      <x:c r="B42" s="30" t="str">
        <x:v>高-欧美</x:v>
      </x:c>
      <x:c r="C42" s="30" t="str">
        <x:v>塑料桶</x:v>
      </x:c>
      <x:c r="D42" s="31" t="str">
        <x:v>71417741</x:v>
      </x:c>
      <x:c r="E42" s="30" t="str">
        <x:v>HAILY TRADING INC</x:v>
      </x:c>
      <x:c r="F42" s="30" t="str">
        <x:v>美国</x:v>
      </x:c>
      <x:c r="G42" s="30" t="str">
        <x:v>liuevaling@gmail.com</x:v>
      </x:c>
      <x:c r="H42" s="30" t="str">
        <x:f>IF(ISNUMBER(SEARCH(":1",AC42)),"已验证有效",IF(ISNUMBER(SEARCH(":3",AC42)),"验证不确定",IF(ISNUMBER(SEARCH(":0",AC42)),"接口未能检测",IF(ISNUMBER(SEARCH(":2",AC42)),"判定无效",IF(V42&lt;&gt;"","官网已确认-未验证","无邮箱")))))</x:f>
        <x:v>已验证有效</x:v>
      </x:c>
      <x:c r="I42" s="30" t="str">
        <x:v>+1 626-810-1190</x:v>
      </x:c>
      <x:c r="J42" s="30" t="str"/>
      <x:c r="K42" s="35" t="n">
        <x:f>ROUND((IF(H42="已验证有效",40,IF(V42&lt;&gt;"",20,0))+IF(ISNUMBER(SEARCH("状态1",Y42)),25,0)+IF(J42&lt;&gt;"",20,0)+IF(AA42&lt;&gt;"",15,0))/100,2)</x:f>
        <x:v>0.65</x:v>
      </x:c>
      <x:c r="L42" s="30" t="str">
        <x:v>待联系</x:v>
      </x:c>
      <x:c r="M42" s="30" t="str"/>
      <x:c r="N42" s="30" t="str">
        <x:v>Covina, California</x:v>
      </x:c>
      <x:c r="O42" s="30" t="str"/>
      <x:c r="P42" s="30" t="str">
        <x:v>暂无经营范围信息</x:v>
      </x:c>
      <x:c r="Q42" s="32" t="n">
        <x:v>7</x:v>
      </x:c>
      <x:c r="R42" s="32" t="n">
        <x:v>1127</x:v>
      </x:c>
      <x:c r="S42" s="33" t="n">
        <x:v>0.0062</x:v>
      </x:c>
      <x:c r="T42" s="34" t="n">
        <x:v>45966.666666666664</x:v>
      </x:c>
      <x:c r="U42" s="30" t="str">
        <x:v>liuevaling@gmail.com; liutianle87@gmail.com</x:v>
      </x:c>
      <x:c r="V42" s="30" t="str"/>
      <x:c r="W42" s="30" t="str">
        <x:v>+1 626-810-1190; 6268101190</x:v>
      </x:c>
      <x:c r="X42" s="30" t="str"/>
      <x:c r="Y42" s="30" t="str">
        <x:v>+1 626-810-1190:状态1/类型3/WhatsApp2; 6268101190:状态2/类型0/WhatsApp0</x:v>
      </x:c>
      <x:c r="Z42" s="30" t="str"/>
      <x:c r="AA42" s="30" t="str"/>
      <x:c r="AB42" s="30" t="str"/>
      <x:c r="AC42" s="30" t="str">
        <x:v>liuevaling@gmail.com:1; liutianle87@gmail.com:1</x:v>
      </x:c>
      <x:c r="AD42" s="30" t="str"/>
      <x:c r="AE42" s="30" t="str"/>
      <x:c r="AF42" s="30" t="str">
        <x:v>PLASTIC BUCKET</x:v>
      </x:c>
      <x:c r="AG42" s="30" t="str"/>
      <x:c r="AH42" s="30" t="str"/>
      <x:c r="AI42" s="30" t="str"/>
      <x:c r="AJ42" s="30" t="str">
        <x:v>塑料桶</x:v>
      </x:c>
      <x:c r="AK42" s="30" t="str">
        <x:v>expansion-search-plastic-bucket-page-02</x:v>
      </x:c>
      <x:c r="AL42" s="30" t="str">
        <x:v>UpKuajing customs company contact API</x:v>
      </x:c>
      <x:c r="AM42" s="30" t="str"/>
      <x:c r="AN42" s="30" t="str"/>
      <x:c r="AO42" s="34" t="n">
        <x:v>46220</x:v>
      </x:c>
    </x:row>
    <x:row r="43" ht="44" customHeight="1">
      <x:c r="A43" s="30" t="str">
        <x:v>API联系方式已获取</x:v>
      </x:c>
      <x:c r="B43" s="30" t="str">
        <x:v>高-欧美</x:v>
      </x:c>
      <x:c r="C43" s="30" t="str">
        <x:v>塑料桶</x:v>
      </x:c>
      <x:c r="D43" s="31" t="str">
        <x:v>220036</x:v>
      </x:c>
      <x:c r="E43" s="30" t="str">
        <x:v>lubrizol advance material inc.</x:v>
      </x:c>
      <x:c r="F43" s="30" t="str">
        <x:v>美国</x:v>
      </x:c>
      <x:c r="G43" s="30" t="str">
        <x:v>jatuwat.c@assaabloy.com</x:v>
      </x:c>
      <x:c r="H43" s="30" t="str">
        <x:f>IF(ISNUMBER(SEARCH(":1",AC43)),"已验证有效",IF(ISNUMBER(SEARCH(":3",AC43)),"验证不确定",IF(ISNUMBER(SEARCH(":0",AC43)),"接口未能检测",IF(ISNUMBER(SEARCH(":2",AC43)),"判定无效",IF(V43&lt;&gt;"","官网已确认-未验证","无邮箱")))))</x:f>
        <x:v>已验证有效</x:v>
      </x:c>
      <x:c r="I43" s="30" t="str">
        <x:v>+34 977 36 95 05</x:v>
      </x:c>
      <x:c r="J43" s="30" t="str">
        <x:v>http://www.lubrizol.com</x:v>
      </x:c>
      <x:c r="K43" s="35" t="n">
        <x:f>ROUND((IF(H43="已验证有效",40,IF(V43&lt;&gt;"",20,0))+IF(ISNUMBER(SEARCH("状态1",Y43)),25,0)+IF(J43&lt;&gt;"",20,0)+IF(AA43&lt;&gt;"",15,0))/100,2)</x:f>
        <x:v>0.85</x:v>
      </x:c>
      <x:c r="L43" s="30" t="str">
        <x:v>待联系</x:v>
      </x:c>
      <x:c r="M43" s="30" t="str"/>
      <x:c r="N43" s="30" t="str">
        <x:v>moragas i barret, 5 43850 cambrils (tarragona) spain</x:v>
      </x:c>
      <x:c r="O43" s="30" t="str"/>
      <x:c r="P43" s="30" t="str">
        <x:v>80，2，23，矿石，烷基醇，焦油，磺酸，模具，50，鼓，马歇尔，钻石</x:v>
      </x:c>
      <x:c r="Q43" s="32" t="n">
        <x:v>7</x:v>
      </x:c>
      <x:c r="R43" s="32" t="n">
        <x:v>13874</x:v>
      </x:c>
      <x:c r="S43" s="33" t="n">
        <x:v>0.0005</x:v>
      </x:c>
      <x:c r="T43" s="34" t="n">
        <x:v>46010.666666666664</x:v>
      </x:c>
      <x:c r="U43" s="30" t="str">
        <x:v>dawn.duncan@lubrizol.com; jatuwat.c@assaabloy.com; karen.lerchbacher@lubrizol.com</x:v>
      </x:c>
      <x:c r="V43" s="30" t="str"/>
      <x:c r="W43" s="30" t="str">
        <x:v>+34 977 36 95 05</x:v>
      </x:c>
      <x:c r="X43" s="30" t="str"/>
      <x:c r="Y43" s="30" t="str">
        <x:v>+34 977 36 95 05:状态1/类型1/WhatsApp2</x:v>
      </x:c>
      <x:c r="Z43" s="30" t="str"/>
      <x:c r="AA43" s="30" t="str"/>
      <x:c r="AB43" s="30" t="str"/>
      <x:c r="AC43" s="30" t="str">
        <x:v>dawn.duncan@lubrizol.com:0; jatuwat.c@assaabloy.com:1; karen.lerchbacher@lubrizol.com:0</x:v>
      </x:c>
      <x:c r="AD43" s="30" t="str"/>
      <x:c r="AE43" s="30" t="str">
        <x:v>塑料桶</x:v>
      </x:c>
      <x:c r="AF43" s="30" t="str">
        <x:v>DS 4609 7 F BLK PLASTIC PAIL 330 PAI X 15 KGS DS 4609 7 F BLK PLASTIC PAIL 330 PAI X 15 KGS</x:v>
      </x:c>
      <x:c r="AG43" s="30" t="str"/>
      <x:c r="AH43" s="30" t="str"/>
      <x:c r="AI43" s="30" t="str"/>
      <x:c r="AJ43" s="30" t="str">
        <x:v>塑料桶</x:v>
      </x:c>
      <x:c r="AK43" s="30" t="str">
        <x:v>expansion-search-plastic-pail-page-02</x:v>
      </x:c>
      <x:c r="AL43" s="30" t="str">
        <x:v>UpKuajing customs company contact API</x:v>
      </x:c>
      <x:c r="AM43" s="30" t="str"/>
      <x:c r="AN43" s="30" t="str"/>
      <x:c r="AO43" s="34" t="n">
        <x:v>46220</x:v>
      </x:c>
    </x:row>
    <x:row r="44" ht="44" customHeight="1">
      <x:c r="A44" s="30" t="str">
        <x:v>API联系方式已获取</x:v>
      </x:c>
      <x:c r="B44" s="30" t="str">
        <x:v>高-欧美</x:v>
      </x:c>
      <x:c r="C44" s="30" t="str">
        <x:v>猪毛刷</x:v>
      </x:c>
      <x:c r="D44" s="31" t="str">
        <x:v>20366959</x:v>
      </x:c>
      <x:c r="E44" s="30" t="str">
        <x:v>SUNNY MARKETING SYSTEMS INC</x:v>
      </x:c>
      <x:c r="F44" s="30" t="str">
        <x:v>美国</x:v>
      </x:c>
      <x:c r="G44" s="30" t="str">
        <x:v>service@earththerapeutics.us</x:v>
      </x:c>
      <x:c r="H44" s="30" t="str">
        <x:f>IF(ISNUMBER(SEARCH(":1",AC44)),"已验证有效",IF(ISNUMBER(SEARCH(":3",AC44)),"验证不确定",IF(ISNUMBER(SEARCH(":0",AC44)),"接口未能检测",IF(ISNUMBER(SEARCH(":2",AC44)),"判定无效",IF(V44&lt;&gt;"","官网已确认-未验证","无邮箱")))))</x:f>
        <x:v>已验证有效</x:v>
      </x:c>
      <x:c r="I44" s="30" t="str">
        <x:v>+1 516-777-7770</x:v>
      </x:c>
      <x:c r="J44" s="30" t="str">
        <x:v>www.earththerapeutics.com</x:v>
      </x:c>
      <x:c r="K44" s="35" t="n">
        <x:f>ROUND((IF(H44="已验证有效",40,IF(V44&lt;&gt;"",20,0))+IF(ISNUMBER(SEARCH("状态1",Y44)),25,0)+IF(J44&lt;&gt;"",20,0)+IF(AA44&lt;&gt;"",15,0))/100,2)</x:f>
        <x:v>1</x:v>
      </x:c>
      <x:c r="L44" s="30" t="str">
        <x:v>待联系</x:v>
      </x:c>
      <x:c r="M44" s="30" t="str"/>
      <x:c r="N44" s="30" t="str">
        <x:v>163 E BETHPAGE RD</x:v>
      </x:c>
      <x:c r="O44" s="30" t="str"/>
      <x:c r="P44" s="30" t="str">
        <x:v>杂货产品</x:v>
      </x:c>
      <x:c r="Q44" s="32" t="n">
        <x:v>7</x:v>
      </x:c>
      <x:c r="R44" s="32" t="n">
        <x:v>1141</x:v>
      </x:c>
      <x:c r="S44" s="33" t="n">
        <x:v>0.0060999999999999995</x:v>
      </x:c>
      <x:c r="T44" s="34" t="n">
        <x:v>45914.666666666664</x:v>
      </x:c>
      <x:c r="U44" s="30" t="str">
        <x:v>service@earththerapeutics.us</x:v>
      </x:c>
      <x:c r="V44" s="30" t="str"/>
      <x:c r="W44" s="30" t="str">
        <x:v>+1 516-777-7770; 5167777770; 8007893579</x:v>
      </x:c>
      <x:c r="X44" s="30" t="str"/>
      <x:c r="Y44" s="30" t="str">
        <x:v>+1 516-777-7770:状态1/类型3/WhatsApp2; 5167777770:状态2/类型0/WhatsApp2; 8007893579:状态2/类型0/WhatsApp2</x:v>
      </x:c>
      <x:c r="Z44" s="30" t="str"/>
      <x:c r="AA44" s="30" t="str">
        <x:v>https://www.facebook.com/Earth-Therapeutics-263800046779; https://www.instagram.com/earththerapeutics</x:v>
      </x:c>
      <x:c r="AB44" s="30" t="str"/>
      <x:c r="AC44" s="30" t="str">
        <x:v>service@earththerapeutics.us:1</x:v>
      </x:c>
      <x:c r="AD44" s="30" t="str"/>
      <x:c r="AE44" s="30" t="str"/>
      <x:c r="AF44" s="30" t="str">
        <x:v>BACK BRUSH BOAR BRISTLE BACK BRUSH BRISTLE BRUSH FOOT BRUSH PUMICE STONE W BRUSH DC NO.:DC US ISF NO.:SO - - THIS SHIPMENT CONTAINS NO SOLID WOOD PACKING MATERIAL </x:v>
      </x:c>
      <x:c r="AG44" s="30" t="str"/>
      <x:c r="AH44" s="30" t="str"/>
      <x:c r="AI44" s="30" t="str"/>
      <x:c r="AJ44" s="30" t="str">
        <x:v>猪毛刷</x:v>
      </x:c>
      <x:c r="AK44" s="30" t="str">
        <x:v>expansion-search-boar-bristle-brush-page-01</x:v>
      </x:c>
      <x:c r="AL44" s="30" t="str">
        <x:v>UpKuajing customs company contact API</x:v>
      </x:c>
      <x:c r="AM44" s="30" t="str"/>
      <x:c r="AN44" s="30" t="str"/>
      <x:c r="AO44" s="34" t="n">
        <x:v>46220</x:v>
      </x:c>
    </x:row>
    <x:row r="45" ht="44" customHeight="1">
      <x:c r="A45" s="30" t="str">
        <x:v>官网已补充客服邮箱与电话</x:v>
      </x:c>
      <x:c r="B45" s="30" t="str">
        <x:v>高-欧美</x:v>
      </x:c>
      <x:c r="C45" s="30" t="str">
        <x:v>遮蔽膜</x:v>
      </x:c>
      <x:c r="D45" s="31" t="str">
        <x:v>71495262</x:v>
      </x:c>
      <x:c r="E45" s="30" t="str">
        <x:v>TPLOGIX, INC</x:v>
      </x:c>
      <x:c r="F45" s="30" t="str">
        <x:v>美国</x:v>
      </x:c>
      <x:c r="G45" s="30" t="str">
        <x:v>csr1@tplogix.com</x:v>
      </x:c>
      <x:c r="H45" s="30" t="str">
        <x:f>IF(ISNUMBER(SEARCH(":1",AC45)),"已验证有效",IF(ISNUMBER(SEARCH(":3",AC45)),"验证不确定",IF(ISNUMBER(SEARCH(":0",AC45)),"接口未能检测",IF(ISNUMBER(SEARCH(":2",AC45)),"判定无效",IF(V45&lt;&gt;"","官网已确认-未验证","无邮箱")))))</x:f>
        <x:v>验证不确定</x:v>
      </x:c>
      <x:c r="I45" s="30" t="str">
        <x:v>+1 562-474-8460</x:v>
      </x:c>
      <x:c r="J45" s="30" t="str"/>
      <x:c r="K45" s="35" t="n">
        <x:f>ROUND((IF(H45="已验证有效",40,IF(V45&lt;&gt;"",20,0))+IF(ISNUMBER(SEARCH("状态1",Y45)),25,0)+IF(J45&lt;&gt;"",20,0)+IF(AA45&lt;&gt;"",15,0))/100,2)</x:f>
        <x:v>0.45</x:v>
      </x:c>
      <x:c r="L45" s="30" t="str">
        <x:v>待联系</x:v>
      </x:c>
      <x:c r="M45" s="30" t="str"/>
      <x:c r="N45" s="30" t="str">
        <x:v>Fountain Valley, California</x:v>
      </x:c>
      <x:c r="O45" s="30" t="str">
        <x:v>1901 HARRISON ST STE 1100, OAKLAND, CA 94612-3648, USA</x:v>
      </x:c>
      <x:c r="P45" s="30" t="str">
        <x:v>暂无经营范围信息</x:v>
      </x:c>
      <x:c r="Q45" s="32" t="n">
        <x:v>7</x:v>
      </x:c>
      <x:c r="R45" s="32" t="n">
        <x:v>19792</x:v>
      </x:c>
      <x:c r="S45" s="33" t="n">
        <x:v>0.0004</x:v>
      </x:c>
      <x:c r="T45" s="34" t="n">
        <x:v>46133.666666666664</x:v>
      </x:c>
      <x:c r="U45" s="30" t="str">
        <x:v>r1@tplogix.com</x:v>
      </x:c>
      <x:c r="V45" s="30" t="str">
        <x:v>csr1@tplogix.com; csr5@tplogix.com</x:v>
      </x:c>
      <x:c r="W45" s="30" t="str">
        <x:v>+1 562-474-8460; 5624748460</x:v>
      </x:c>
      <x:c r="X45" s="30" t="str">
        <x:v>562-474-8460</x:v>
      </x:c>
      <x:c r="Y45" s="30" t="str">
        <x:v>+1 562-474-8460:状态1/类型3/WhatsApp2; 5624748460:状态3/类型0/WhatsApp0; 562-474-8460:状态2/类型3/WhatsApp2</x:v>
      </x:c>
      <x:c r="Z45" s="30" t="str"/>
      <x:c r="AA45" s="30" t="str"/>
      <x:c r="AB45" s="30" t="str">
        <x:v>Official customer-service emails, phone and inquiry form</x:v>
      </x:c>
      <x:c r="AC45" s="30" t="str">
        <x:v>r1@tplogix.com:2; csr1@tplogix.com:3; csr5@tplogix.com:3</x:v>
      </x:c>
      <x:c r="AD45" s="30" t="str"/>
      <x:c r="AE45" s="30" t="str"/>
      <x:c r="AF45" s="30" t="str">
        <x:v>MASKING FILM HBL BCOLO SCAC CODE BCPI ACI CODE W</x:v>
      </x:c>
      <x:c r="AG45" s="30" t="str"/>
      <x:c r="AH45" s="30" t="str"/>
      <x:c r="AI45" s="30" t="str"/>
      <x:c r="AJ45" s="30" t="str">
        <x:v>遮蔽膜</x:v>
      </x:c>
      <x:c r="AK45" s="30" t="str">
        <x:v>masking-film-buyers-exact-search</x:v>
      </x:c>
      <x:c r="AL45" s="30" t="str">
        <x:v>UpKuajing customs company contact API</x:v>
      </x:c>
      <x:c r="AM45" s="30" t="str">
        <x:v>https://tplogix.com/contact-us/</x:v>
      </x:c>
      <x:c r="AN45" s="30" t="str">
        <x:v>Official contact page provides two customer-service emails; use these ahead of the unverified API email.</x:v>
      </x:c>
      <x:c r="AO45" s="34" t="n">
        <x:v>46220</x:v>
      </x:c>
    </x:row>
    <x:row r="46" ht="44" customHeight="1">
      <x:c r="A46" s="30" t="str">
        <x:v>API联系方式已获取</x:v>
      </x:c>
      <x:c r="B46" s="30" t="str">
        <x:v>高-欧美</x:v>
      </x:c>
      <x:c r="C46" s="30" t="str">
        <x:v>猪毛刷</x:v>
      </x:c>
      <x:c r="D46" s="31" t="str">
        <x:v>71380857</x:v>
      </x:c>
      <x:c r="E46" s="30" t="str">
        <x:v>BOC INTERNATIONAL, INC.</x:v>
      </x:c>
      <x:c r="F46" s="30" t="str">
        <x:v>美国</x:v>
      </x:c>
      <x:c r="G46" s="30" t="str">
        <x:v>donald.catino@bocintl.com</x:v>
      </x:c>
      <x:c r="H46" s="30" t="str">
        <x:f>IF(ISNUMBER(SEARCH(":1",AC46)),"已验证有效",IF(ISNUMBER(SEARCH(":3",AC46)),"验证不确定",IF(ISNUMBER(SEARCH(":0",AC46)),"接口未能检测",IF(ISNUMBER(SEARCH(":2",AC46)),"判定无效",IF(V46&lt;&gt;"","官网已确认-未验证","无邮箱")))))</x:f>
        <x:v>已验证有效</x:v>
      </x:c>
      <x:c r="I46" s="30" t="str">
        <x:v>+1 630-625-1670</x:v>
      </x:c>
      <x:c r="J46" s="30" t="str"/>
      <x:c r="K46" s="35" t="n">
        <x:f>ROUND((IF(H46="已验证有效",40,IF(V46&lt;&gt;"",20,0))+IF(ISNUMBER(SEARCH("状态1",Y46)),25,0)+IF(J46&lt;&gt;"",20,0)+IF(AA46&lt;&gt;"",15,0))/100,2)</x:f>
        <x:v>0.65</x:v>
      </x:c>
      <x:c r="L46" s="30" t="str">
        <x:v>待联系</x:v>
      </x:c>
      <x:c r="M46" s="30" t="str"/>
      <x:c r="N46" s="30" t="str">
        <x:v>Boston, Massachusetts</x:v>
      </x:c>
      <x:c r="O46" s="30" t="str"/>
      <x:c r="P46" s="30" t="str">
        <x:v>暂无经营范围信息</x:v>
      </x:c>
      <x:c r="Q46" s="32" t="n">
        <x:v>6</x:v>
      </x:c>
      <x:c r="R46" s="32" t="n">
        <x:v>45286</x:v>
      </x:c>
      <x:c r="S46" s="33" t="n">
        <x:v>0.0001</x:v>
      </x:c>
      <x:c r="T46" s="34" t="n">
        <x:v>45970.666666666664</x:v>
      </x:c>
      <x:c r="U46" s="30" t="str">
        <x:v>donald.catino@bocintl.com</x:v>
      </x:c>
      <x:c r="V46" s="30" t="str"/>
      <x:c r="W46" s="30" t="str">
        <x:v>+1 630-625-1670; 6306251670</x:v>
      </x:c>
      <x:c r="X46" s="30" t="str"/>
      <x:c r="Y46" s="30" t="str">
        <x:v>+1 630-625-1670:状态1/类型3/WhatsApp2; 6306251670:状态2/类型0/WhatsApp0</x:v>
      </x:c>
      <x:c r="Z46" s="30" t="str"/>
      <x:c r="AA46" s="30" t="str"/>
      <x:c r="AB46" s="30" t="str"/>
      <x:c r="AC46" s="30" t="str">
        <x:v>donald.catino@bocintl.com:1</x:v>
      </x:c>
      <x:c r="AD46" s="30" t="str">
        <x:v>Brush Paddle；Wood Boar Styler；Curl Flexi</x:v>
      </x:c>
      <x:c r="AE46" s="30" t="str">
        <x:v>Brush Paddle；Wood Boar Styler；Curl Flexi；Hair Styling</x:v>
      </x:c>
      <x:c r="AF46" s="30" t="str">
        <x:v>CUSTOM STYLE BRUSH PADDLE THICK- CT-NP STYLE BOOST BRUSH PADDLE BLUE- CT-NP AMZ WOOD BOAR STYLER- CT ACE BOAR STYLER CURL FLEXI ...</x:v>
      </x:c>
      <x:c r="AG46" s="30" t="str">
        <x:v>Hair Brush；Styling Brush；Paddle Brush；Boar Bristle Brush；Flexi Curl Brush</x:v>
      </x:c>
      <x:c r="AH46" s="30" t="str">
        <x:v>Wood；Boar Bristles；塑料；金属；Synthetic Fibers</x:v>
      </x:c>
      <x:c r="AI46" s="30" t="str">
        <x:v>Salons；Beauty Stores；Online Retailers；Consumers；Hair Stylists</x:v>
      </x:c>
      <x:c r="AJ46" s="30" t="str">
        <x:v>猪毛刷</x:v>
      </x:c>
      <x:c r="AK46" s="30" t="str">
        <x:v>expansion-search-boar-bristle-brush-page-01</x:v>
      </x:c>
      <x:c r="AL46" s="30" t="str">
        <x:v>UpKuajing customs company contact API</x:v>
      </x:c>
      <x:c r="AM46" s="30" t="str"/>
      <x:c r="AN46" s="30" t="str"/>
      <x:c r="AO46" s="34" t="n">
        <x:v>46220</x:v>
      </x:c>
    </x:row>
    <x:row r="47" ht="44" customHeight="1">
      <x:c r="A47" s="30" t="str">
        <x:v>API联系方式已获取</x:v>
      </x:c>
      <x:c r="B47" s="30" t="str">
        <x:v>高-欧美</x:v>
      </x:c>
      <x:c r="C47" s="30" t="str">
        <x:v>塑料桶</x:v>
      </x:c>
      <x:c r="D47" s="31" t="str">
        <x:v>220618</x:v>
      </x:c>
      <x:c r="E47" s="30" t="str">
        <x:v>deko international co</x:v>
      </x:c>
      <x:c r="F47" s="30" t="str">
        <x:v>美国</x:v>
      </x:c>
      <x:c r="G47" s="30" t="str">
        <x:v>mary@dekointl.com</x:v>
      </x:c>
      <x:c r="H47" s="30" t="str">
        <x:f>IF(ISNUMBER(SEARCH(":1",AC47)),"已验证有效",IF(ISNUMBER(SEARCH(":3",AC47)),"验证不确定",IF(ISNUMBER(SEARCH(":0",AC47)),"接口未能检测",IF(ISNUMBER(SEARCH(":2",AC47)),"判定无效",IF(V47&lt;&gt;"","官网已确认-未验证","无邮箱")))))</x:f>
        <x:v>接口未能检测</x:v>
      </x:c>
      <x:c r="I47" s="30" t="str">
        <x:v>+1 314-298-0910</x:v>
      </x:c>
      <x:c r="J47" s="30" t="str">
        <x:v>http://www.dekointl.com</x:v>
      </x:c>
      <x:c r="K47" s="35" t="n">
        <x:f>ROUND((IF(H47="已验证有效",40,IF(V47&lt;&gt;"",20,0))+IF(ISNUMBER(SEARCH("状态1",Y47)),25,0)+IF(J47&lt;&gt;"",20,0)+IF(AA47&lt;&gt;"",15,0))/100,2)</x:f>
        <x:v>0.45</x:v>
      </x:c>
      <x:c r="L47" s="30" t="str">
        <x:v>待联系</x:v>
      </x:c>
      <x:c r="M47" s="30" t="str"/>
      <x:c r="N47" s="30" t="str">
        <x:v>4283 shoreline dr.,earth city.mo 63045</x:v>
      </x:c>
      <x:c r="O47" s="30" t="str"/>
      <x:c r="P47" s="30" t="str">
        <x:v>袋，太阳能组件，盒，细晶，板，100，罐，无发票，方式，木薯麦芽糊精，桶，白胡椒粉，运费预付，材料，水晶，去壳芝麻</x:v>
      </x:c>
      <x:c r="Q47" s="32" t="n">
        <x:v>6</x:v>
      </x:c>
      <x:c r="R47" s="32" t="n">
        <x:v>8744</x:v>
      </x:c>
      <x:c r="S47" s="33" t="n">
        <x:v>0.0007000000000000001</x:v>
      </x:c>
      <x:c r="T47" s="34" t="n">
        <x:v>46119.666666666664</x:v>
      </x:c>
      <x:c r="U47" s="30" t="str">
        <x:v>mary@dekointl.com; sharon@dekointl.com</x:v>
      </x:c>
      <x:c r="V47" s="30" t="str"/>
      <x:c r="W47" s="30" t="str">
        <x:v>+1 314-298-0910</x:v>
      </x:c>
      <x:c r="X47" s="30" t="str"/>
      <x:c r="Y47" s="30" t="str">
        <x:v>+1 314-298-0910:状态1/类型3/WhatsApp2</x:v>
      </x:c>
      <x:c r="Z47" s="30" t="str"/>
      <x:c r="AA47" s="30" t="str"/>
      <x:c r="AB47" s="30" t="str"/>
      <x:c r="AC47" s="30" t="str">
        <x:v>mary@dekointl.com:0; sharon@dekointl.com:0</x:v>
      </x:c>
      <x:c r="AD47" s="30" t="str"/>
      <x:c r="AE47" s="30" t="str">
        <x:v>pc；fda registration；carton；塑料桶；honey</x:v>
      </x:c>
      <x:c r="AF47" s="30" t="str">
        <x:v>LB HONEY BLEND (%-% HONEY) NW .KGS,GW .KGS PACKED BY PLASTIC PAIL PCS/CARTON/. (X.X.XCM) POSS FDA REGISTRATION NO&lt;br/&gt;</x:v>
      </x:c>
      <x:c r="AG47" s="30" t="str"/>
      <x:c r="AH47" s="30" t="str"/>
      <x:c r="AI47" s="30" t="str"/>
      <x:c r="AJ47" s="30" t="str">
        <x:v>塑料桶</x:v>
      </x:c>
      <x:c r="AK47" s="30" t="str">
        <x:v>expansion-search-plastic-pail-page-02</x:v>
      </x:c>
      <x:c r="AL47" s="30" t="str">
        <x:v>UpKuajing customs company contact API</x:v>
      </x:c>
      <x:c r="AM47" s="30" t="str"/>
      <x:c r="AN47" s="30" t="str"/>
      <x:c r="AO47" s="34" t="n">
        <x:v>46220</x:v>
      </x:c>
    </x:row>
    <x:row r="48" ht="44" customHeight="1">
      <x:c r="A48" s="30" t="str">
        <x:v>API联系方式已获取</x:v>
      </x:c>
      <x:c r="B48" s="30" t="str">
        <x:v>高-欧美</x:v>
      </x:c>
      <x:c r="C48" s="30" t="str">
        <x:v>PVC护角条</x:v>
      </x:c>
      <x:c r="D48" s="31" t="str">
        <x:v>71413022</x:v>
      </x:c>
      <x:c r="E48" s="30" t="str">
        <x:v>GLOBAL FREIGHT SERVICES USA LLC</x:v>
      </x:c>
      <x:c r="F48" s="30" t="str">
        <x:v>美国</x:v>
      </x:c>
      <x:c r="G48" s="30" t="str">
        <x:v>jfkoi@gfsmanagement.com</x:v>
      </x:c>
      <x:c r="H48" s="30" t="str">
        <x:f>IF(ISNUMBER(SEARCH(":1",AC48)),"已验证有效",IF(ISNUMBER(SEARCH(":3",AC48)),"验证不确定",IF(ISNUMBER(SEARCH(":0",AC48)),"接口未能检测",IF(ISNUMBER(SEARCH(":2",AC48)),"判定无效",IF(V48&lt;&gt;"","官网已确认-未验证","无邮箱")))))</x:f>
        <x:v>接口未能检测</x:v>
      </x:c>
      <x:c r="I48" s="30" t="str">
        <x:v>+1 212-827-3336</x:v>
      </x:c>
      <x:c r="J48" s="30" t="str"/>
      <x:c r="K48" s="35" t="n">
        <x:f>ROUND((IF(H48="已验证有效",40,IF(V48&lt;&gt;"",20,0))+IF(ISNUMBER(SEARCH("状态1",Y48)),25,0)+IF(J48&lt;&gt;"",20,0)+IF(AA48&lt;&gt;"",15,0))/100,2)</x:f>
        <x:v>0.25</x:v>
      </x:c>
      <x:c r="L48" s="30" t="str">
        <x:v>待联系</x:v>
      </x:c>
      <x:c r="M48" s="30" t="str"/>
      <x:c r="N48" s="30" t="str">
        <x:v>Itasca, Illinois</x:v>
      </x:c>
      <x:c r="O48" s="30" t="str"/>
      <x:c r="P48" s="30" t="str">
        <x:v>暂无经营范围信息</x:v>
      </x:c>
      <x:c r="Q48" s="32" t="n">
        <x:v>6</x:v>
      </x:c>
      <x:c r="R48" s="32" t="n">
        <x:v>62928</x:v>
      </x:c>
      <x:c r="S48" s="33" t="n">
        <x:v>0.0001</x:v>
      </x:c>
      <x:c r="T48" s="34" t="n">
        <x:v>46190.666666666664</x:v>
      </x:c>
      <x:c r="U48" s="30" t="str">
        <x:v>jfkoi@gfsmanagement.com; mco@gfsmanagement.com; xan@gfsmanagement.com</x:v>
      </x:c>
      <x:c r="V48" s="30" t="str"/>
      <x:c r="W48" s="30" t="str">
        <x:v>2128273336; 16469272034; 5627586260; 15627586266; 2128273308; 12128273308; 5627586240; 15627586260; +1 212-827-3336; 1423521310</x:v>
      </x:c>
      <x:c r="X48" s="30" t="str"/>
      <x:c r="Y48" s="30" t="str">
        <x:v>2128273336:状态2/类型0/WhatsApp0; 16469272034:状态2/类型0/WhatsApp0; 5627586260:状态2/类型0/WhatsApp0; 15627586266:状态2/类型0/WhatsApp0; 2128273308:状态2/类型0/WhatsApp0; 12128273308:状态2/类型0/WhatsApp2; 5627586240:状态2/类型0/WhatsApp0; 15627586260:状态2/类型0/WhatsApp2; +1 212-827-3336:状态1/类型3/WhatsApp0; 1423521310:状态2/类型0/WhatsApp0</x:v>
      </x:c>
      <x:c r="Z48" s="30" t="str"/>
      <x:c r="AA48" s="30" t="str"/>
      <x:c r="AB48" s="30" t="str"/>
      <x:c r="AC48" s="30" t="str">
        <x:v>jfkoi@gfsmanagement.com:0; mco@gfsmanagement.com:0; xan@gfsmanagement.com:0</x:v>
      </x:c>
      <x:c r="AD48" s="30" t="str"/>
      <x:c r="AE48" s="30" t="str"/>
      <x:c r="AF48" s="30" t="str">
        <x:v>PVC CORNER BEAD NAC:HKHKGLIVIN TEL: 02123518 888 FAX: 02134627580 XXXXX@GFSMANAGEMENT.CO M ATTN: OCEAN IMPORTS</x:v>
      </x:c>
      <x:c r="AG48" s="30" t="str"/>
      <x:c r="AH48" s="30" t="str"/>
      <x:c r="AI48" s="30" t="str"/>
      <x:c r="AJ48" s="30" t="str">
        <x:v>PVC护角条</x:v>
      </x:c>
      <x:c r="AK48" s="30" t="str">
        <x:v>expansion-search-pvc-corner-bead-page-01</x:v>
      </x:c>
      <x:c r="AL48" s="30" t="str">
        <x:v>UpKuajing customs company contact API</x:v>
      </x:c>
      <x:c r="AM48" s="30" t="str"/>
      <x:c r="AN48" s="30" t="str"/>
      <x:c r="AO48" s="34" t="n">
        <x:v>46220</x:v>
      </x:c>
    </x:row>
    <x:row r="49" ht="44" customHeight="1">
      <x:c r="A49" s="30" t="str">
        <x:v>API联系方式已获取</x:v>
      </x:c>
      <x:c r="B49" s="30" t="str">
        <x:v>高-欧美</x:v>
      </x:c>
      <x:c r="C49" s="30" t="str">
        <x:v>塑料桶</x:v>
      </x:c>
      <x:c r="D49" s="31" t="str">
        <x:v>226828</x:v>
      </x:c>
      <x:c r="E49" s="30" t="str">
        <x:v>j c sales</x:v>
      </x:c>
      <x:c r="F49" s="30" t="str">
        <x:v>美国</x:v>
      </x:c>
      <x:c r="G49" s="30" t="str">
        <x:v>james@jcsales.biz</x:v>
      </x:c>
      <x:c r="H49" s="30" t="str">
        <x:f>IF(ISNUMBER(SEARCH(":1",AC49)),"已验证有效",IF(ISNUMBER(SEARCH(":3",AC49)),"验证不确定",IF(ISNUMBER(SEARCH(":0",AC49)),"接口未能检测",IF(ISNUMBER(SEARCH(":2",AC49)),"判定无效",IF(V49&lt;&gt;"","官网已确认-未验证","无邮箱")))))</x:f>
        <x:v>接口未能检测</x:v>
      </x:c>
      <x:c r="I49" s="30" t="str">
        <x:v>+1 954-341-8636</x:v>
      </x:c>
      <x:c r="J49" s="30" t="str">
        <x:v>www.jcsales.com</x:v>
      </x:c>
      <x:c r="K49" s="35" t="n">
        <x:f>ROUND((IF(H49="已验证有效",40,IF(V49&lt;&gt;"",20,0))+IF(ISNUMBER(SEARCH("状态1",Y49)),25,0)+IF(J49&lt;&gt;"",20,0)+IF(AA49&lt;&gt;"",15,0))/100,2)</x:f>
        <x:v>0.45</x:v>
      </x:c>
      <x:c r="L49" s="30" t="str">
        <x:v>待联系</x:v>
      </x:c>
      <x:c r="M49" s="30" t="str"/>
      <x:c r="N49" s="30" t="str">
        <x:v>10673 nw 62nd court, parkland, fl 33076</x:v>
      </x:c>
      <x:c r="O49" s="30" t="str"/>
      <x:c r="P49" s="30" t="str">
        <x:v>地板，板，不锈钢杯，自行车锁，套件，矿石，头灯，旋钮，宠物刷，凝灰岩，通，柱，黄瓜，狗项圈，可堆叠桌子，衬垫，天鹅绒，清洁刷，粉彩</x:v>
      </x:c>
      <x:c r="Q49" s="32" t="n">
        <x:v>6</x:v>
      </x:c>
      <x:c r="R49" s="32" t="n">
        <x:v>6591</x:v>
      </x:c>
      <x:c r="S49" s="33" t="n">
        <x:v>0.0009</x:v>
      </x:c>
      <x:c r="T49" s="34" t="n">
        <x:v>45939.666666666664</x:v>
      </x:c>
      <x:c r="U49" s="30" t="str">
        <x:v>james@jcsales.biz</x:v>
      </x:c>
      <x:c r="V49" s="30" t="str"/>
      <x:c r="W49" s="30" t="str">
        <x:v>+1 954-341-8636</x:v>
      </x:c>
      <x:c r="X49" s="30" t="str"/>
      <x:c r="Y49" s="30" t="str">
        <x:v>+1 954-341-8636:状态1/类型3/WhatsApp2</x:v>
      </x:c>
      <x:c r="Z49" s="30" t="str"/>
      <x:c r="AA49" s="30" t="str"/>
      <x:c r="AB49" s="30" t="str"/>
      <x:c r="AC49" s="30" t="str">
        <x:v>james@jcsales.biz:0</x:v>
      </x:c>
      <x:c r="AD49" s="30" t="str">
        <x:v>Plastic Cutting Board；Metal Dust Pan；Pail；Plastic Basin；Flower Pot；Storage Basket</x:v>
      </x:c>
      <x:c r="AE49" s="30" t="str">
        <x:v>塑料；金属；Cutting Board；Dust Pan；Pail；Basin；Flower Pot；Storage Basket</x:v>
      </x:c>
      <x:c r="AF49" s="30" t="str">
        <x:v>PLASTIC CUTTING BOARD METAL DUST PAN PAIL PLASTIC BASIN FLOWER POT STORAGE BASKET PO# SHIPPER S LOAD COUNT &amp; SEALED THIS SHIPME NT DOES NOT CONTAIN ANY SOLID WOOD PACKING MATERIAL&lt;br/&gt;</x:v>
      </x:c>
      <x:c r="AG49" s="30" t="str">
        <x:v>Plastic Chopping Board；Metal Dust Bin；Bucket；Plastic Tub；Plant Pot</x:v>
      </x:c>
      <x:c r="AH49" s="30" t="str">
        <x:v>塑料树脂；Metal Ore；Sand；Clay；Wood Pulp</x:v>
      </x:c>
      <x:c r="AI49" s="30" t="str">
        <x:v>Kitchen；Cleaning Supplies；Gardening；Home Storage；Office</x:v>
      </x:c>
      <x:c r="AJ49" s="30" t="str">
        <x:v>塑料桶</x:v>
      </x:c>
      <x:c r="AK49" s="30" t="str">
        <x:v>expansion-search-plastic-pail-page-03</x:v>
      </x:c>
      <x:c r="AL49" s="30" t="str">
        <x:v>UpKuajing customs company contact API</x:v>
      </x:c>
      <x:c r="AM49" s="30" t="str"/>
      <x:c r="AN49" s="30" t="str"/>
      <x:c r="AO49" s="34" t="n">
        <x:v>46220</x:v>
      </x:c>
    </x:row>
    <x:row r="50" ht="44" customHeight="1">
      <x:c r="A50" s="30" t="str">
        <x:v>API联系方式已获取</x:v>
      </x:c>
      <x:c r="B50" s="30" t="str">
        <x:v>高-欧美</x:v>
      </x:c>
      <x:c r="C50" s="30" t="str">
        <x:v>塑料桶</x:v>
      </x:c>
      <x:c r="D50" s="31" t="str">
        <x:v>71431807</x:v>
      </x:c>
      <x:c r="E50" s="30" t="str">
        <x:v>JOHNNY TRADING INC</x:v>
      </x:c>
      <x:c r="F50" s="30" t="str">
        <x:v>美国</x:v>
      </x:c>
      <x:c r="G50" s="30" t="str">
        <x:v>liutianle87@gmail.com</x:v>
      </x:c>
      <x:c r="H50" s="30" t="str">
        <x:f>IF(ISNUMBER(SEARCH(":1",AC50)),"已验证有效",IF(ISNUMBER(SEARCH(":3",AC50)),"验证不确定",IF(ISNUMBER(SEARCH(":0",AC50)),"接口未能检测",IF(ISNUMBER(SEARCH(":2",AC50)),"判定无效",IF(V50&lt;&gt;"","官网已确认-未验证","无邮箱")))))</x:f>
        <x:v>已验证有效</x:v>
      </x:c>
      <x:c r="I50" s="30" t="str">
        <x:v>+1 323-498-9155</x:v>
      </x:c>
      <x:c r="J50" s="30" t="str"/>
      <x:c r="K50" s="35" t="n">
        <x:f>ROUND((IF(H50="已验证有效",40,IF(V50&lt;&gt;"",20,0))+IF(ISNUMBER(SEARCH("状态1",Y50)),25,0)+IF(J50&lt;&gt;"",20,0)+IF(AA50&lt;&gt;"",15,0))/100,2)</x:f>
        <x:v>0.65</x:v>
      </x:c>
      <x:c r="L50" s="30" t="str">
        <x:v>待联系</x:v>
      </x:c>
      <x:c r="M50" s="30" t="str"/>
      <x:c r="N50" s="30" t="str">
        <x:v>Covina, California</x:v>
      </x:c>
      <x:c r="O50" s="30" t="str"/>
      <x:c r="P50" s="30" t="str">
        <x:v>暂无经营范围信息</x:v>
      </x:c>
      <x:c r="Q50" s="32" t="n">
        <x:v>6</x:v>
      </x:c>
      <x:c r="R50" s="32" t="n">
        <x:v>1811</x:v>
      </x:c>
      <x:c r="S50" s="33" t="n">
        <x:v>0.0033</x:v>
      </x:c>
      <x:c r="T50" s="34" t="n">
        <x:v>46082.666666666664</x:v>
      </x:c>
      <x:c r="U50" s="30" t="str">
        <x:v>info@moreprousa.com; liutianle87@gmail.com</x:v>
      </x:c>
      <x:c r="V50" s="30" t="str"/>
      <x:c r="W50" s="30" t="str">
        <x:v>+1 323-498-9155; 18062269911; 8560255398</x:v>
      </x:c>
      <x:c r="X50" s="30" t="str"/>
      <x:c r="Y50" s="30" t="str">
        <x:v>+1 323-498-9155:状态1/类型3/WhatsApp1; 18062269911:状态2/类型0/WhatsApp0; 8560255398:状态2/类型0/WhatsApp0</x:v>
      </x:c>
      <x:c r="Z50" s="30" t="str">
        <x:v>+1 323-498-9155</x:v>
      </x:c>
      <x:c r="AA50" s="30" t="str"/>
      <x:c r="AB50" s="30" t="str"/>
      <x:c r="AC50" s="30" t="str">
        <x:v>info@moreprousa.com:0; liutianle87@gmail.com:1</x:v>
      </x:c>
      <x:c r="AD50" s="30" t="str"/>
      <x:c r="AE50" s="30" t="str"/>
      <x:c r="AF50" s="30" t="str">
        <x:v>PLASTIC BUCKET,CUSHION</x:v>
      </x:c>
      <x:c r="AG50" s="30" t="str"/>
      <x:c r="AH50" s="30" t="str"/>
      <x:c r="AI50" s="30" t="str"/>
      <x:c r="AJ50" s="30" t="str">
        <x:v>塑料桶</x:v>
      </x:c>
      <x:c r="AK50" s="30" t="str">
        <x:v>expansion-search-plastic-bucket-page-03</x:v>
      </x:c>
      <x:c r="AL50" s="30" t="str">
        <x:v>UpKuajing customs company contact API</x:v>
      </x:c>
      <x:c r="AM50" s="30" t="str"/>
      <x:c r="AN50" s="30" t="str"/>
      <x:c r="AO50" s="34" t="n">
        <x:v>46220</x:v>
      </x:c>
    </x:row>
    <x:row r="51" ht="44" customHeight="1">
      <x:c r="A51" s="30" t="str">
        <x:v>API联系方式已获取</x:v>
      </x:c>
      <x:c r="B51" s="30" t="str">
        <x:v>高-欧美</x:v>
      </x:c>
      <x:c r="C51" s="30" t="str">
        <x:v>刷子</x:v>
      </x:c>
      <x:c r="D51" s="31" t="str">
        <x:v>20439931</x:v>
      </x:c>
      <x:c r="E51" s="30" t="str">
        <x:v>YOUNG NAILS INC</x:v>
      </x:c>
      <x:c r="F51" s="30" t="str">
        <x:v>美国</x:v>
      </x:c>
      <x:c r="G51" s="30" t="str">
        <x:v>info@youngnails.com</x:v>
      </x:c>
      <x:c r="H51" s="30" t="str">
        <x:f>IF(ISNUMBER(SEARCH(":1",AC51)),"已验证有效",IF(ISNUMBER(SEARCH(":3",AC51)),"验证不确定",IF(ISNUMBER(SEARCH(":0",AC51)),"接口未能检测",IF(ISNUMBER(SEARCH(":2",AC51)),"判定无效",IF(V51&lt;&gt;"","官网已确认-未验证","无邮箱")))))</x:f>
        <x:v>已验证有效</x:v>
      </x:c>
      <x:c r="I51" s="30" t="str">
        <x:v>+1 714-525-0013</x:v>
      </x:c>
      <x:c r="J51" s="30" t="str">
        <x:v>www.youngnails.com</x:v>
      </x:c>
      <x:c r="K51" s="35" t="n">
        <x:f>ROUND((IF(H51="已验证有效",40,IF(V51&lt;&gt;"",20,0))+IF(ISNUMBER(SEARCH("状态1",Y51)),25,0)+IF(J51&lt;&gt;"",20,0)+IF(AA51&lt;&gt;"",15,0))/100,2)</x:f>
        <x:v>1</x:v>
      </x:c>
      <x:c r="L51" s="30" t="str">
        <x:v>待联系</x:v>
      </x:c>
      <x:c r="M51" s="30" t="str"/>
      <x:c r="N51" s="30" t="str">
        <x:v>1149 N PATT ST , BLDG B</x:v>
      </x:c>
      <x:c r="O51" s="30" t="str"/>
      <x:c r="P51" s="30" t="str">
        <x:v>暂无经营范围信息</x:v>
      </x:c>
      <x:c r="Q51" s="32" t="n">
        <x:v>6</x:v>
      </x:c>
      <x:c r="R51" s="32" t="n">
        <x:v>229</x:v>
      </x:c>
      <x:c r="S51" s="33" t="n">
        <x:v>0.0262</x:v>
      </x:c>
      <x:c r="T51" s="34" t="n">
        <x:v>45909.666666666664</x:v>
      </x:c>
      <x:c r="U51" s="30" t="str">
        <x:v>info@youngnails.com</x:v>
      </x:c>
      <x:c r="V51" s="30" t="str"/>
      <x:c r="W51" s="30" t="str">
        <x:v>+1 714-525-0013; 7149921400</x:v>
      </x:c>
      <x:c r="X51" s="30" t="str"/>
      <x:c r="Y51" s="30" t="str">
        <x:v>+1 714-525-0013:状态1/类型3/WhatsApp2; 7149921400:状态2/类型0/WhatsApp2</x:v>
      </x:c>
      <x:c r="Z51" s="30" t="str"/>
      <x:c r="AA51" s="30" t="str">
        <x:v>https://www.facebook.com/youngnailsinc; https://www.instagram.com/youngnailsinc/?hl=en; https://www.linkedin.com/company/youngnailsinc; https://twitter.com/youngnailsinc; https://www.youtube.com/youngnailsinc</x:v>
      </x:c>
      <x:c r="AB51" s="30" t="str"/>
      <x:c r="AC51" s="30" t="str">
        <x:v>info@youngnails.com:1</x:v>
      </x:c>
      <x:c r="AD51" s="30" t="str"/>
      <x:c r="AE51" s="30" t="str"/>
      <x:c r="AF51" s="30" t="str">
        <x:v>ARTIST BRUSH </x:v>
      </x:c>
      <x:c r="AG51" s="30" t="str"/>
      <x:c r="AH51" s="30" t="str"/>
      <x:c r="AI51" s="30" t="str"/>
      <x:c r="AJ51" s="30" t="str">
        <x:v>刷子</x:v>
      </x:c>
      <x:c r="AK51" s="30" t="str">
        <x:v>expansion-search-brush-page-06</x:v>
      </x:c>
      <x:c r="AL51" s="30" t="str">
        <x:v>UpKuajing customs company contact API</x:v>
      </x:c>
      <x:c r="AM51" s="30" t="str"/>
      <x:c r="AN51" s="30" t="str"/>
      <x:c r="AO51" s="34" t="n">
        <x:v>46220</x:v>
      </x:c>
    </x:row>
    <x:row r="52" ht="44" customHeight="1">
      <x:c r="A52" s="30" t="str">
        <x:v>API联系方式已获取</x:v>
      </x:c>
      <x:c r="B52" s="30" t="str">
        <x:v>高-欧美</x:v>
      </x:c>
      <x:c r="C52" s="30" t="str">
        <x:v>塑料桶</x:v>
      </x:c>
      <x:c r="D52" s="31" t="str">
        <x:v>71431179</x:v>
      </x:c>
      <x:c r="E52" s="30" t="str">
        <x:v>JIUFANG E-COMMERCE LOGISTICS INC.</x:v>
      </x:c>
      <x:c r="F52" s="30" t="str">
        <x:v>美国</x:v>
      </x:c>
      <x:c r="G52" s="30" t="str">
        <x:v>all_seausaop@tofba.com</x:v>
      </x:c>
      <x:c r="H52" s="30" t="str">
        <x:f>IF(ISNUMBER(SEARCH(":1",AC52)),"已验证有效",IF(ISNUMBER(SEARCH(":3",AC52)),"验证不确定",IF(ISNUMBER(SEARCH(":0",AC52)),"接口未能检测",IF(ISNUMBER(SEARCH(":2",AC52)),"判定无效",IF(V52&lt;&gt;"","官网已确认-未验证","无邮箱")))))</x:f>
        <x:v>已验证有效</x:v>
      </x:c>
      <x:c r="I52" s="30" t="str">
        <x:v>+1 540-998-9579</x:v>
      </x:c>
      <x:c r="J52" s="30" t="str"/>
      <x:c r="K52" s="35" t="n">
        <x:f>ROUND((IF(H52="已验证有效",40,IF(V52&lt;&gt;"",20,0))+IF(ISNUMBER(SEARCH("状态1",Y52)),25,0)+IF(J52&lt;&gt;"",20,0)+IF(AA52&lt;&gt;"",15,0))/100,2)</x:f>
        <x:v>0.65</x:v>
      </x:c>
      <x:c r="L52" s="30" t="str">
        <x:v>待联系</x:v>
      </x:c>
      <x:c r="M52" s="30" t="str"/>
      <x:c r="N52" s="30" t="str">
        <x:v>Irwindale, California</x:v>
      </x:c>
      <x:c r="O52" s="30" t="str"/>
      <x:c r="P52" s="30" t="str">
        <x:v>暂无经营范围信息</x:v>
      </x:c>
      <x:c r="Q52" s="32" t="n">
        <x:v>5</x:v>
      </x:c>
      <x:c r="R52" s="32" t="n">
        <x:v>10400</x:v>
      </x:c>
      <x:c r="S52" s="33" t="n">
        <x:v>0.0005</x:v>
      </x:c>
      <x:c r="T52" s="34" t="n">
        <x:v>46210.666666666664</x:v>
      </x:c>
      <x:c r="U52" s="30" t="str">
        <x:v>all_seausaop@tofba.com; tracy@tofba.com</x:v>
      </x:c>
      <x:c r="V52" s="30" t="str"/>
      <x:c r="W52" s="30" t="str">
        <x:v>+1 540-998-9579; 5409989579</x:v>
      </x:c>
      <x:c r="X52" s="30" t="str"/>
      <x:c r="Y52" s="30" t="str">
        <x:v>+1 540-998-9579:状态1/类型3/WhatsApp1; 5409989579:状态2/类型0/WhatsApp0</x:v>
      </x:c>
      <x:c r="Z52" s="30" t="str">
        <x:v>+1 540-998-9579</x:v>
      </x:c>
      <x:c r="AA52" s="30" t="str"/>
      <x:c r="AB52" s="30" t="str"/>
      <x:c r="AC52" s="30" t="str">
        <x:v>all_seausaop@tofba.com:1; tracy@tofba.com:1</x:v>
      </x:c>
      <x:c r="AD52" s="30" t="str"/>
      <x:c r="AE52" s="30" t="str"/>
      <x:c r="AF52" s="30" t="str">
        <x:v>PLASTIC BUCKET BATH BRUSH PLASTIC BUCKET BATH BRUSH VACUUM CUP WALL SCONCE THE VACUUM PUMP THE TV STANDS CEILING FAN WITH LIGHT ...</x:v>
      </x:c>
      <x:c r="AG52" s="30" t="str"/>
      <x:c r="AH52" s="30" t="str"/>
      <x:c r="AI52" s="30" t="str"/>
      <x:c r="AJ52" s="30" t="str">
        <x:v>塑料桶</x:v>
      </x:c>
      <x:c r="AK52" s="30" t="str">
        <x:v>expansion-search-plastic-bucket-page-02</x:v>
      </x:c>
      <x:c r="AL52" s="30" t="str">
        <x:v>UpKuajing customs company contact API</x:v>
      </x:c>
      <x:c r="AM52" s="30" t="str"/>
      <x:c r="AN52" s="30" t="str"/>
      <x:c r="AO52" s="34" t="n">
        <x:v>46220</x:v>
      </x:c>
    </x:row>
    <x:row r="53" ht="44" customHeight="1">
      <x:c r="A53" s="30" t="str">
        <x:v>API联系方式已获取</x:v>
      </x:c>
      <x:c r="B53" s="30" t="str">
        <x:v>高-欧美</x:v>
      </x:c>
      <x:c r="C53" s="30" t="str">
        <x:v>塑料桶</x:v>
      </x:c>
      <x:c r="D53" s="31" t="str">
        <x:v>71434274</x:v>
      </x:c>
      <x:c r="E53" s="30" t="str">
        <x:v>KERRY APEX (NYC)</x:v>
      </x:c>
      <x:c r="F53" s="30" t="str">
        <x:v>美国</x:v>
      </x:c>
      <x:c r="G53" s="30" t="str">
        <x:v>stephanie.li@kerryapex.com</x:v>
      </x:c>
      <x:c r="H53" s="30" t="str">
        <x:f>IF(ISNUMBER(SEARCH(":1",AC53)),"已验证有效",IF(ISNUMBER(SEARCH(":3",AC53)),"验证不确定",IF(ISNUMBER(SEARCH(":0",AC53)),"接口未能检测",IF(ISNUMBER(SEARCH(":2",AC53)),"判定无效",IF(V53&lt;&gt;"","官网已确认-未验证","无邮箱")))))</x:f>
        <x:v>接口未能检测</x:v>
      </x:c>
      <x:c r="I53" s="30" t="str">
        <x:v>+1 516-421-0414</x:v>
      </x:c>
      <x:c r="J53" s="30" t="str"/>
      <x:c r="K53" s="35" t="n">
        <x:f>ROUND((IF(H53="已验证有效",40,IF(V53&lt;&gt;"",20,0))+IF(ISNUMBER(SEARCH("状态1",Y53)),25,0)+IF(J53&lt;&gt;"",20,0)+IF(AA53&lt;&gt;"",15,0))/100,2)</x:f>
        <x:v>0.25</x:v>
      </x:c>
      <x:c r="L53" s="30" t="str">
        <x:v>待联系</x:v>
      </x:c>
      <x:c r="M53" s="30" t="str"/>
      <x:c r="N53" s="30" t="str">
        <x:v>Elmont, New York</x:v>
      </x:c>
      <x:c r="O53" s="30" t="str"/>
      <x:c r="P53" s="30" t="str">
        <x:v>暂无经营范围信息</x:v>
      </x:c>
      <x:c r="Q53" s="32" t="n">
        <x:v>5</x:v>
      </x:c>
      <x:c r="R53" s="32" t="n">
        <x:v>26646</x:v>
      </x:c>
      <x:c r="S53" s="33" t="n">
        <x:v>0.0002</x:v>
      </x:c>
      <x:c r="T53" s="34" t="n">
        <x:v>45729.666666666664</x:v>
      </x:c>
      <x:c r="U53" s="30" t="str">
        <x:v>stephanie.li@kerryapex.com</x:v>
      </x:c>
      <x:c r="V53" s="30" t="str"/>
      <x:c r="W53" s="30" t="str">
        <x:v>15162009500; +1 516-421-0414; 5162009500; 5163201249; 5164210414</x:v>
      </x:c>
      <x:c r="X53" s="30" t="str"/>
      <x:c r="Y53" s="30" t="str">
        <x:v>15162009500:状态2/类型0/WhatsApp2; +1 516-421-0414:状态1/类型3/WhatsApp0; 5162009500:状态2/类型0/WhatsApp0; 5163201249:状态2/类型0/WhatsApp0; 5164210414:状态2/类型0/WhatsApp0</x:v>
      </x:c>
      <x:c r="Z53" s="30" t="str"/>
      <x:c r="AA53" s="30" t="str"/>
      <x:c r="AB53" s="30" t="str"/>
      <x:c r="AC53" s="30" t="str">
        <x:v>stephanie.li@kerryapex.com:0</x:v>
      </x:c>
      <x:c r="AD53" s="30" t="str">
        <x:v>塑料桶；Hand Pallet Truck Handle；Mop</x:v>
      </x:c>
      <x:c r="AE53" s="30" t="str">
        <x:v>塑料；Bucket；Truck Handle；Mop</x:v>
      </x:c>
      <x:c r="AF53" s="30" t="str">
        <x:v>PLASTIC BUCKET HAND PALLET TRUCK HANDLE MOP H</x:v>
      </x:c>
      <x:c r="AG53" s="30" t="str">
        <x:v>Plastic Container；Pallet Jack Handle；Floor Mop；塑料桶；Hand Truck Handle</x:v>
      </x:c>
      <x:c r="AH53" s="30" t="str">
        <x:v>塑料树脂；金属；橡胶；Fiber；Wood</x:v>
      </x:c>
      <x:c r="AI53" s="30" t="str">
        <x:v>Warehouse；Factory；Cleaning Service；Retail Store；Home</x:v>
      </x:c>
      <x:c r="AJ53" s="30" t="str">
        <x:v>塑料桶</x:v>
      </x:c>
      <x:c r="AK53" s="30" t="str">
        <x:v>expansion-search-plastic-bucket-page-03</x:v>
      </x:c>
      <x:c r="AL53" s="30" t="str">
        <x:v>UpKuajing customs company contact API</x:v>
      </x:c>
      <x:c r="AM53" s="30" t="str"/>
      <x:c r="AN53" s="30" t="str"/>
      <x:c r="AO53" s="34" t="n">
        <x:v>46220</x:v>
      </x:c>
    </x:row>
    <x:row r="54" ht="44" customHeight="1">
      <x:c r="A54" s="30" t="str">
        <x:v>API联系方式已获取</x:v>
      </x:c>
      <x:c r="B54" s="30" t="str">
        <x:v>高-欧美</x:v>
      </x:c>
      <x:c r="C54" s="30" t="str">
        <x:v>塑料桶</x:v>
      </x:c>
      <x:c r="D54" s="31" t="str">
        <x:v>71430344</x:v>
      </x:c>
      <x:c r="E54" s="30" t="str">
        <x:v>JAS FORWARDING (USA) INC</x:v>
      </x:c>
      <x:c r="F54" s="30" t="str">
        <x:v>美国</x:v>
      </x:c>
      <x:c r="G54" s="30" t="str">
        <x:v>anna.brown@jas.com</x:v>
      </x:c>
      <x:c r="H54" s="30" t="str">
        <x:f>IF(ISNUMBER(SEARCH(":1",AC54)),"已验证有效",IF(ISNUMBER(SEARCH(":3",AC54)),"验证不确定",IF(ISNUMBER(SEARCH(":0",AC54)),"接口未能检测",IF(ISNUMBER(SEARCH(":2",AC54)),"判定无效",IF(V54&lt;&gt;"","官网已确认-未验证","无邮箱")))))</x:f>
        <x:v>已验证有效</x:v>
      </x:c>
      <x:c r="I54" s="30" t="str">
        <x:v>+1 972-462-0837</x:v>
      </x:c>
      <x:c r="J54" s="30" t="str"/>
      <x:c r="K54" s="35" t="n">
        <x:f>ROUND((IF(H54="已验证有效",40,IF(V54&lt;&gt;"",20,0))+IF(ISNUMBER(SEARCH("状态1",Y54)),25,0)+IF(J54&lt;&gt;"",20,0)+IF(AA54&lt;&gt;"",15,0))/100,2)</x:f>
        <x:v>0.65</x:v>
      </x:c>
      <x:c r="L54" s="30" t="str">
        <x:v>待联系</x:v>
      </x:c>
      <x:c r="M54" s="30" t="str"/>
      <x:c r="N54" s="30" t="str">
        <x:v>Wood Dale, Illinois</x:v>
      </x:c>
      <x:c r="O54" s="30" t="str"/>
      <x:c r="P54" s="30" t="str">
        <x:v>暂无经营范围信息</x:v>
      </x:c>
      <x:c r="Q54" s="32" t="n">
        <x:v>4</x:v>
      </x:c>
      <x:c r="R54" s="32" t="n">
        <x:v>60170</x:v>
      </x:c>
      <x:c r="S54" s="33" t="n">
        <x:v>0.0001</x:v>
      </x:c>
      <x:c r="T54" s="34" t="n">
        <x:v>45879.666666666664</x:v>
      </x:c>
      <x:c r="U54" s="30" t="str">
        <x:v>anna.brown@jas.com; indira.coomar@jas.com; us-iah-customs@jas.com; us-jeldwen-ct@jas.com</x:v>
      </x:c>
      <x:c r="V54" s="30" t="str"/>
      <x:c r="W54" s="30" t="str">
        <x:v>12167062163; 12813725400; 12813725900; 13055946665; 14049426200; 16505817230; 17043571230; 17326535020; 17574569250; 18434865343; 18434865382; 19723932929; +1 972-462-0837; 2013057140; 3016099333; 3055946665; 3106099330; 4049426200; 5168810067; 6505817230; 7575125500; 8434865343</x:v>
      </x:c>
      <x:c r="X54" s="30" t="str"/>
      <x:c r="Y54" s="30" t="str">
        <x:v>12167062163:状态2/类型0/WhatsApp0; 12813725400:状态2/类型0/WhatsApp2; 12813725900:状态2/类型0/WhatsApp0; 13055946665:状态2/类型0/WhatsApp2; 14049426200:状态2/类型0/WhatsApp2; 16505817230:状态2/类型0/WhatsApp2; 17043571230:状态2/类型0/WhatsApp2; 17326535020:状态2/类型0/WhatsApp0; 17574569250:状态2/类型0/WhatsApp2; 18434865343:状态2/类型0/WhatsApp2; 18434865382:状态2/类型0/WhatsApp0; 19723932929:状态2/类型0/WhatsApp2; +1 972-462-0837:状态1/类型3/WhatsApp0; 2013057140:状态2/类型0/WhatsApp0; 3016099333:状态2/类型0/WhatsApp0; 3055946665:状态2/类型0/WhatsApp0; 3106099330:状态2/类型0/WhatsApp0; 4049426200:状态2/类型0/WhatsApp0; 5168810067:状态2/类型0/WhatsApp0; 6505817230:状态2/类型0/WhatsApp0; 7575125500:状态2/类型0/WhatsApp0; 8434865343:状态2/类型0/WhatsApp0</x:v>
      </x:c>
      <x:c r="Z54" s="30" t="str"/>
      <x:c r="AA54" s="30" t="str"/>
      <x:c r="AB54" s="30" t="str"/>
      <x:c r="AC54" s="30" t="str">
        <x:v>anna.brown@jas.com:1; indira.coomar@jas.com:1; us-iah-customs@jas.com:1; us-jeldwen-ct@jas.com:1</x:v>
      </x:c>
      <x:c r="AD54" s="30" t="str"/>
      <x:c r="AE54" s="30" t="str"/>
      <x:c r="AF54" s="30" t="str">
        <x:v>CONSTRUCTION BRACKET SUPPORT PLASTIC BUCKET</x:v>
      </x:c>
      <x:c r="AG54" s="30" t="str"/>
      <x:c r="AH54" s="30" t="str"/>
      <x:c r="AI54" s="30" t="str"/>
      <x:c r="AJ54" s="30" t="str">
        <x:v>塑料桶</x:v>
      </x:c>
      <x:c r="AK54" s="30" t="str">
        <x:v>expansion-search-plastic-bucket-page-02</x:v>
      </x:c>
      <x:c r="AL54" s="30" t="str">
        <x:v>UpKuajing customs company contact API</x:v>
      </x:c>
      <x:c r="AM54" s="30" t="str"/>
      <x:c r="AN54" s="30" t="str"/>
      <x:c r="AO54" s="34" t="n">
        <x:v>46220</x:v>
      </x:c>
    </x:row>
    <x:row r="55" ht="44" customHeight="1">
      <x:c r="A55" s="30" t="str">
        <x:v>API联系方式已获取</x:v>
      </x:c>
      <x:c r="B55" s="30" t="str">
        <x:v>高-欧美</x:v>
      </x:c>
      <x:c r="C55" s="30" t="str">
        <x:v>塑料桶</x:v>
      </x:c>
      <x:c r="D55" s="31" t="str">
        <x:v>71438191</x:v>
      </x:c>
      <x:c r="E55" s="30" t="str">
        <x:v>LEDA TECHNOLOGY, INC.</x:v>
      </x:c>
      <x:c r="F55" s="30" t="str">
        <x:v>美国</x:v>
      </x:c>
      <x:c r="G55" s="30" t="str">
        <x:v>market01@szwayota.com.cn</x:v>
      </x:c>
      <x:c r="H55" s="30" t="str">
        <x:f>IF(ISNUMBER(SEARCH(":1",AC55)),"已验证有效",IF(ISNUMBER(SEARCH(":3",AC55)),"验证不确定",IF(ISNUMBER(SEARCH(":0",AC55)),"接口未能检测",IF(ISNUMBER(SEARCH(":2",AC55)),"判定无效",IF(V55&lt;&gt;"","官网已确认-未验证","无邮箱")))))</x:f>
        <x:v>已验证有效</x:v>
      </x:c>
      <x:c r="I55" s="30" t="str"/>
      <x:c r="J55" s="30" t="str"/>
      <x:c r="K55" s="35" t="n">
        <x:f>ROUND((IF(H55="已验证有效",40,IF(V55&lt;&gt;"",20,0))+IF(ISNUMBER(SEARCH("状态1",Y55)),25,0)+IF(J55&lt;&gt;"",20,0)+IF(AA55&lt;&gt;"",15,0))/100,2)</x:f>
        <x:v>0.4</x:v>
      </x:c>
      <x:c r="L55" s="30" t="str">
        <x:v>待联系</x:v>
      </x:c>
      <x:c r="M55" s="30" t="str"/>
      <x:c r="N55" s="30" t="str">
        <x:v>Broomfield, Colorado</x:v>
      </x:c>
      <x:c r="O55" s="30" t="str"/>
      <x:c r="P55" s="30" t="str">
        <x:v>暂无经营范围信息</x:v>
      </x:c>
      <x:c r="Q55" s="32" t="n">
        <x:v>4</x:v>
      </x:c>
      <x:c r="R55" s="32" t="n">
        <x:v>3425</x:v>
      </x:c>
      <x:c r="S55" s="33" t="n">
        <x:v>0.0012</x:v>
      </x:c>
      <x:c r="T55" s="34" t="n">
        <x:v>45862.666666666664</x:v>
      </x:c>
      <x:c r="U55" s="30" t="str">
        <x:v>market01@szwayota.com.cn; op08@szwayota.cn</x:v>
      </x:c>
      <x:c r="V55" s="30" t="str"/>
      <x:c r="W55" s="30" t="str"/>
      <x:c r="X55" s="30" t="str"/>
      <x:c r="Y55" s="30" t="str"/>
      <x:c r="Z55" s="30" t="str"/>
      <x:c r="AA55" s="30" t="str"/>
      <x:c r="AB55" s="30" t="str"/>
      <x:c r="AC55" s="30" t="str">
        <x:v>market01@szwayota.com.cn:1; op08@szwayota.cn:1</x:v>
      </x:c>
      <x:c r="AD55" s="30" t="str">
        <x:v>Plastic foot washing bucket</x:v>
      </x:c>
      <x:c r="AE55" s="30" t="str">
        <x:v>塑料；Foot washing；Bucket</x:v>
      </x:c>
      <x:c r="AF55" s="30" t="str">
        <x:v>PLASTIC FOOT WASHING BUCKET</x:v>
      </x:c>
      <x:c r="AG55" s="30" t="str">
        <x:v>Plastic foot bath bucket；Plastic foot tub；Foot washing plastic container；Plastic foot basin；Foot bath plastic bucket</x:v>
      </x:c>
      <x:c r="AH55" s="30" t="str">
        <x:v>塑料树脂；添加剂；Colorants；Plasticizers；Stabilizers</x:v>
      </x:c>
      <x:c r="AI55" s="30" t="str">
        <x:v>Household use；Beauty salon；Foot spa；Medical institution；Gym</x:v>
      </x:c>
      <x:c r="AJ55" s="30" t="str">
        <x:v>塑料桶</x:v>
      </x:c>
      <x:c r="AK55" s="30" t="str">
        <x:v>expansion-search-plastic-bucket-page-03</x:v>
      </x:c>
      <x:c r="AL55" s="30" t="str">
        <x:v>UpKuajing customs company contact API</x:v>
      </x:c>
      <x:c r="AM55" s="30" t="str"/>
      <x:c r="AN55" s="30" t="str"/>
      <x:c r="AO55" s="34" t="n">
        <x:v>46220</x:v>
      </x:c>
    </x:row>
    <x:row r="56" ht="44" customHeight="1">
      <x:c r="A56" s="30" t="str">
        <x:v>API联系方式已获取</x:v>
      </x:c>
      <x:c r="B56" s="30" t="str">
        <x:v>高-欧美</x:v>
      </x:c>
      <x:c r="C56" s="30" t="str">
        <x:v>塑料桶</x:v>
      </x:c>
      <x:c r="D56" s="31" t="str">
        <x:v>71444539</x:v>
      </x:c>
      <x:c r="E56" s="30" t="str">
        <x:v>MATRIX FREIGHT SOLUTION,INC</x:v>
      </x:c>
      <x:c r="F56" s="30" t="str">
        <x:v>美国</x:v>
      </x:c>
      <x:c r="G56" s="30" t="str">
        <x:v>udy.p@matrixfreightsolutions.com</x:v>
      </x:c>
      <x:c r="H56" s="30" t="str">
        <x:f>IF(ISNUMBER(SEARCH(":1",AC56)),"已验证有效",IF(ISNUMBER(SEARCH(":3",AC56)),"验证不确定",IF(ISNUMBER(SEARCH(":0",AC56)),"接口未能检测",IF(ISNUMBER(SEARCH(":2",AC56)),"判定无效",IF(V56&lt;&gt;"","官网已确认-未验证","无邮箱")))))</x:f>
        <x:v>接口未能检测</x:v>
      </x:c>
      <x:c r="I56" s="30" t="str">
        <x:v>13237403555</x:v>
      </x:c>
      <x:c r="J56" s="30" t="str"/>
      <x:c r="K56" s="35" t="n">
        <x:f>ROUND((IF(H56="已验证有效",40,IF(V56&lt;&gt;"",20,0))+IF(ISNUMBER(SEARCH("状态1",Y56)),25,0)+IF(J56&lt;&gt;"",20,0)+IF(AA56&lt;&gt;"",15,0))/100,2)</x:f>
        <x:v>0.25</x:v>
      </x:c>
      <x:c r="L56" s="30" t="str">
        <x:v>待联系</x:v>
      </x:c>
      <x:c r="M56" s="30" t="str"/>
      <x:c r="N56" s="30" t="str">
        <x:v>City of Industry, California</x:v>
      </x:c>
      <x:c r="O56" s="30" t="str"/>
      <x:c r="P56" s="30" t="str">
        <x:v>暂无经营范围信息</x:v>
      </x:c>
      <x:c r="Q56" s="32" t="n">
        <x:v>4</x:v>
      </x:c>
      <x:c r="R56" s="32" t="n">
        <x:v>15010</x:v>
      </x:c>
      <x:c r="S56" s="33" t="n">
        <x:v>0.0003</x:v>
      </x:c>
      <x:c r="T56" s="34" t="n">
        <x:v>46168.666666666664</x:v>
      </x:c>
      <x:c r="U56" s="30" t="str">
        <x:v>udy.p@matrixfreightsolutions.com</x:v>
      </x:c>
      <x:c r="V56" s="30" t="str"/>
      <x:c r="W56" s="30" t="str">
        <x:v>13237403555; +1 626-898-9788; 6268989696; 6268989788</x:v>
      </x:c>
      <x:c r="X56" s="30" t="str"/>
      <x:c r="Y56" s="30" t="str">
        <x:v>13237403555:状态1/类型2/WhatsApp1; +1 626-898-9788:状态1/类型3/WhatsApp2; 6268989696:状态2/类型0/WhatsApp0; 6268989788:状态2/类型0/WhatsApp0</x:v>
      </x:c>
      <x:c r="Z56" s="30" t="str">
        <x:v>13237403555</x:v>
      </x:c>
      <x:c r="AA56" s="30" t="str"/>
      <x:c r="AB56" s="30" t="str"/>
      <x:c r="AC56" s="30" t="str">
        <x:v>udy.p@matrixfreightsolutions.com:0</x:v>
      </x:c>
      <x:c r="AD56" s="30" t="str"/>
      <x:c r="AE56" s="30" t="str"/>
      <x:c r="AF56" s="30" t="str">
        <x:v>PLASTIC BUCKET PLASTIC STORAGE BOX GROUP A</x:v>
      </x:c>
      <x:c r="AG56" s="30" t="str"/>
      <x:c r="AH56" s="30" t="str"/>
      <x:c r="AI56" s="30" t="str"/>
      <x:c r="AJ56" s="30" t="str">
        <x:v>塑料桶</x:v>
      </x:c>
      <x:c r="AK56" s="30" t="str">
        <x:v>expansion-search-plastic-bucket-page-03</x:v>
      </x:c>
      <x:c r="AL56" s="30" t="str">
        <x:v>UpKuajing customs company contact API</x:v>
      </x:c>
      <x:c r="AM56" s="30" t="str"/>
      <x:c r="AN56" s="30" t="str"/>
      <x:c r="AO56" s="34" t="n">
        <x:v>46220</x:v>
      </x:c>
    </x:row>
    <x:row r="57" ht="44" customHeight="1">
      <x:c r="A57" s="30" t="str">
        <x:v>API联系方式已获取</x:v>
      </x:c>
      <x:c r="B57" s="30" t="str">
        <x:v>高-欧美</x:v>
      </x:c>
      <x:c r="C57" s="30" t="str">
        <x:v>刷子</x:v>
      </x:c>
      <x:c r="D57" s="31" t="str">
        <x:v>20450243</x:v>
      </x:c>
      <x:c r="E57" s="30" t="str">
        <x:v>PACIFIC ARC INC</x:v>
      </x:c>
      <x:c r="F57" s="30" t="str">
        <x:v>美国</x:v>
      </x:c>
      <x:c r="G57" s="30" t="str">
        <x:v>accounting@pacificarc.us</x:v>
      </x:c>
      <x:c r="H57" s="30" t="str">
        <x:f>IF(ISNUMBER(SEARCH(":1",AC57)),"已验证有效",IF(ISNUMBER(SEARCH(":3",AC57)),"验证不确定",IF(ISNUMBER(SEARCH(":0",AC57)),"接口未能检测",IF(ISNUMBER(SEARCH(":2",AC57)),"判定无效",IF(V57&lt;&gt;"","官网已确认-未验证","无邮箱")))))</x:f>
        <x:v>已验证有效</x:v>
      </x:c>
      <x:c r="I57" s="30" t="str">
        <x:v>+1 281-343-7337</x:v>
      </x:c>
      <x:c r="J57" s="30" t="str">
        <x:v>www.pacificarc.us</x:v>
      </x:c>
      <x:c r="K57" s="35" t="n">
        <x:f>ROUND((IF(H57="已验证有效",40,IF(V57&lt;&gt;"",20,0))+IF(ISNUMBER(SEARCH("状态1",Y57)),25,0)+IF(J57&lt;&gt;"",20,0)+IF(AA57&lt;&gt;"",15,0))/100,2)</x:f>
        <x:v>1</x:v>
      </x:c>
      <x:c r="L57" s="30" t="str">
        <x:v>待联系</x:v>
      </x:c>
      <x:c r="M57" s="30" t="str"/>
      <x:c r="N57" s="30" t="str">
        <x:v>1020 agnes road richmond, tx 77469, united states</x:v>
      </x:c>
      <x:c r="O57" s="30" t="str"/>
      <x:c r="P57" s="30" t="str">
        <x:v>房屋平面图，电气控制，2，聚氯乙烯，电子控制，管件，麦芽酒，180度，电气符号，木制，直边，家居装饰，设计艺术，计数，塑料帕，泡沫，板</x:v>
      </x:c>
      <x:c r="Q57" s="32" t="n">
        <x:v>4</x:v>
      </x:c>
      <x:c r="R57" s="32" t="n">
        <x:v>264</x:v>
      </x:c>
      <x:c r="S57" s="33" t="n">
        <x:v>0.0152</x:v>
      </x:c>
      <x:c r="T57" s="34" t="n">
        <x:v>45886.666666666664</x:v>
      </x:c>
      <x:c r="U57" s="30" t="str">
        <x:v>accounting@pacificarc.us; contact@pacificarc.us; customerservice@pacificarc.us; info@pacificarc.us; orders@pacificarc.us; rs@pacificarc.us; sales@pacificarc.us; t@pacificarc.us</x:v>
      </x:c>
      <x:c r="V57" s="30" t="str"/>
      <x:c r="W57" s="30" t="str">
        <x:v>+1 281-343-7337</x:v>
      </x:c>
      <x:c r="X57" s="30" t="str"/>
      <x:c r="Y57" s="30" t="str">
        <x:v>+1 281-343-7337:状态1/类型3/WhatsApp2</x:v>
      </x:c>
      <x:c r="Z57" s="30" t="str"/>
      <x:c r="AA57" s="30" t="str">
        <x:v>https://www.instagram.com/pacific.arc/?hl=en; https://www.youtube.com/channel/UCwbn51avTMKjVlV9W76gTww</x:v>
      </x:c>
      <x:c r="AB57" s="30" t="str"/>
      <x:c r="AC57" s="30" t="str">
        <x:v>accounting@pacificarc.us:1; contact@pacificarc.us:1; customerservice@pacificarc.us:1; info@pacificarc.us:1; orders@pacificarc.us:1; rs@pacificarc.us:1; sales@pacificarc.us:1; t@pacificarc.us:1</x:v>
      </x:c>
      <x:c r="AD57" s="30" t="str"/>
      <x:c r="AE57" s="30" t="str"/>
      <x:c r="AF57" s="30" t="str">
        <x:v>NV NO. R6148A PO 000167 : LEAD POINTER 84729030.00-8 LETTERING GUIDE 9017.30.00.00-7 DUST BRUSH 9 PVC HAIR, WOOD HANDLE 96034019 </x:v>
      </x:c>
      <x:c r="AG57" s="30" t="str"/>
      <x:c r="AH57" s="30" t="str"/>
      <x:c r="AI57" s="30" t="str"/>
      <x:c r="AJ57" s="30" t="str">
        <x:v>刷子</x:v>
      </x:c>
      <x:c r="AK57" s="30" t="str">
        <x:v>expansion-search-brush-page-07</x:v>
      </x:c>
      <x:c r="AL57" s="30" t="str">
        <x:v>UpKuajing customs company contact API</x:v>
      </x:c>
      <x:c r="AM57" s="30" t="str"/>
      <x:c r="AN57" s="30" t="str"/>
      <x:c r="AO57" s="34" t="n">
        <x:v>46220</x:v>
      </x:c>
    </x:row>
    <x:row r="58" ht="44" customHeight="1">
      <x:c r="A58" s="30" t="str">
        <x:v>API联系方式已获取</x:v>
      </x:c>
      <x:c r="B58" s="30" t="str">
        <x:v>高-欧美</x:v>
      </x:c>
      <x:c r="C58" s="30" t="str">
        <x:v>猪毛刷</x:v>
      </x:c>
      <x:c r="D58" s="31" t="str">
        <x:v>218590</x:v>
      </x:c>
      <x:c r="E58" s="30" t="str">
        <x:v>burmax</x:v>
      </x:c>
      <x:c r="F58" s="30" t="str">
        <x:v>美国</x:v>
      </x:c>
      <x:c r="G58" s="30" t="str">
        <x:v>sales@burmax.com</x:v>
      </x:c>
      <x:c r="H58" s="30" t="str">
        <x:f>IF(ISNUMBER(SEARCH(":1",AC58)),"已验证有效",IF(ISNUMBER(SEARCH(":3",AC58)),"验证不确定",IF(ISNUMBER(SEARCH(":0",AC58)),"接口未能检测",IF(ISNUMBER(SEARCH(":2",AC58)),"判定无效",IF(V58&lt;&gt;"","官网已确认-未验证","无邮箱")))))</x:f>
        <x:v>已验证有效</x:v>
      </x:c>
      <x:c r="I58" s="30" t="str">
        <x:v>+1 631-447-8700</x:v>
      </x:c>
      <x:c r="J58" s="30" t="str">
        <x:v>http://www.burmax.com</x:v>
      </x:c>
      <x:c r="K58" s="35" t="n">
        <x:f>ROUND((IF(H58="已验证有效",40,IF(V58&lt;&gt;"",20,0))+IF(ISNUMBER(SEARCH("状态1",Y58)),25,0)+IF(J58&lt;&gt;"",20,0)+IF(AA58&lt;&gt;"",15,0))/100,2)</x:f>
        <x:v>0.85</x:v>
      </x:c>
      <x:c r="L58" s="30" t="str">
        <x:v>待联系</x:v>
      </x:c>
      <x:c r="M58" s="30" t="str"/>
      <x:c r="N58" s="30" t="str">
        <x:v>28 barretts avenue holtsville, ny 11742</x:v>
      </x:c>
      <x:c r="O58" s="30" t="str"/>
      <x:c r="P58" s="30" t="str">
        <x:v>电动车，喷雾，无纺布，大型汽车，联合国编号，黑色乙烯基，发制品，无纺布卷，塑料瓶泵，倒计时器，折叠碗，治疗，角质层，冷杉，配件头发，造型帽，塑料支架，迪维，套件，23</x:v>
      </x:c>
      <x:c r="Q58" s="32" t="n">
        <x:v>3</x:v>
      </x:c>
      <x:c r="R58" s="32" t="n">
        <x:v>4748</x:v>
      </x:c>
      <x:c r="S58" s="33" t="n">
        <x:v>0.0006</x:v>
      </x:c>
      <x:c r="T58" s="34" t="n">
        <x:v>46096.666666666664</x:v>
      </x:c>
      <x:c r="U58" s="30" t="str">
        <x:v>sales@burmax.com</x:v>
      </x:c>
      <x:c r="V58" s="30" t="str"/>
      <x:c r="W58" s="30" t="str">
        <x:v>+1 631-447-8700</x:v>
      </x:c>
      <x:c r="X58" s="30" t="str"/>
      <x:c r="Y58" s="30" t="str">
        <x:v>+1 631-447-8700:状态1/类型3/WhatsApp2</x:v>
      </x:c>
      <x:c r="Z58" s="30" t="str"/>
      <x:c r="AA58" s="30" t="str"/>
      <x:c r="AB58" s="30" t="str"/>
      <x:c r="AC58" s="30" t="str">
        <x:v>sales@burmax.com:1</x:v>
      </x:c>
      <x:c r="AD58" s="30" t="str"/>
      <x:c r="AE58" s="30" t="str">
        <x:v>pro；sea；aristo；gund；styling；concave；shower cap；divi；cushion paddle brush；mirror；nail brush；grit；刷子；ball；comb set；ppe；k ar；卷材；foot file；rat；oar；rv；salon；boar bristle；gold；picture；natural bristle；body brush；pc；iec；bucket；vent；chi；fanta；roll up；tin；angular；cotton；lp；wood</x:v>
      </x:c>
      <x:c r="AF58" s="30" t="str">
        <x:v>SCALPMASTER CUSHION PADDLE BRUSH&lt;br/&gt;SCALPMASTER CUSHION PADDLE BRUSH GOLD MAGIC FIST PIK ARISTOCRAT BUCKET OF RAT TAIL COMBS SOFT N STYLE PC. FROSTING KIT DL PRO / GRIT -SIDED CURVED FOOT FILE FANTASEA NATURAL BRISTLE BODY BRUSH LATINA PIECE BONECOMB ROLL UP LATINA RAT TAIL COMB LATINA IN COMB SCALPMASTER TORTOISE WET COMB SCALPMASTER CUSHION BRUSH BALL-TIPPED ROW SCALPMASTER % BOAR BRISTLE BEARD BRUSH SCALPMASTER NYLON WOOD TEASING BRUSH - ROW SCALPMASTER OVAL CUSHION PADDLE BRUSH SCALPMASTER RECTANGULAR CUSHION PADDLE BRUSH SCALPMASTER CUSHION PADDLE BRUSH SCALPMASTER VENT BRUSH SCALPMASTER . BOAR BRISTLE ROUND BRUSH SALONCHIC DETANGLING COMB SOFT N STYLE PICTURE MIRROR X . - BLACK SOFT N STYLE MAKE-UP MIRROR - BLACK SOFT N STYLE MAKE-UP MIRROR - BURGUNDY SNS -SIDED MIRROR WITH HANDLE AND STAND - X/X SOFT N STYLE TIPPING CAPS - /BX W/NEEDLE BABYLISS % BOAR BRISTLE BEARD BRUSH ARISTOCRAT PC PROFESS IONAL COMB SET ROLL- UP FANTASEA EYELASH CURLER FANTASEA GLAMOUR LASHES INDIVIDUAL LONG BLACK LATINA PC. FROSTING KIT SCALPMASTER WAVE BRUSH - BOAR/NYLON SALON CHIC -/ CONCAVE THERMAL BRUSH SCALPMASTER STYLING BRUSH SCALPMASTER BOAR/NYLON FLEXIBLE DETANGLING BRUSH DL PRO ERGONOMIC NAIL BRUSH FANTASEA PC. COTTON ASSORTMENT PCS SHOWER CAP DISPOSABLE PROCESSING CAPS CT PCS SHOWER CAP FANTASEA NATURAL BRISTLEBODY MASSAGE @, P.R. CHINA. @TEL -- FAX @-- @@@@PH ()- @@@@FAX ()-&lt;br/&gt;</x:v>
      </x:c>
      <x:c r="AG58" s="30" t="str"/>
      <x:c r="AH58" s="30" t="str"/>
      <x:c r="AI58" s="30" t="str"/>
      <x:c r="AJ58" s="30" t="str">
        <x:v>猪毛刷</x:v>
      </x:c>
      <x:c r="AK58" s="30" t="str">
        <x:v>expansion-search-boar-bristle-brush-page-01</x:v>
      </x:c>
      <x:c r="AL58" s="30" t="str">
        <x:v>UpKuajing customs company contact API</x:v>
      </x:c>
      <x:c r="AM58" s="30" t="str"/>
      <x:c r="AN58" s="30" t="str"/>
      <x:c r="AO58" s="34" t="n">
        <x:v>46220</x:v>
      </x:c>
    </x:row>
    <x:row r="59" ht="44" customHeight="1">
      <x:c r="A59" s="30" t="str">
        <x:v>API联系方式已获取</x:v>
      </x:c>
      <x:c r="B59" s="30" t="str">
        <x:v>高-欧美</x:v>
      </x:c>
      <x:c r="C59" s="30" t="str">
        <x:v>猪毛刷</x:v>
      </x:c>
      <x:c r="D59" s="31" t="str">
        <x:v>71408362</x:v>
      </x:c>
      <x:c r="E59" s="30" t="str">
        <x:v>FLEXPORT INTERNATIONAL LLC</x:v>
      </x:c>
      <x:c r="F59" s="30" t="str">
        <x:v>美国</x:v>
      </x:c>
      <x:c r="G59" s="30" t="str">
        <x:v>arrivalnotice@flexport.com</x:v>
      </x:c>
      <x:c r="H59" s="30" t="str">
        <x:f>IF(ISNUMBER(SEARCH(":1",AC59)),"已验证有效",IF(ISNUMBER(SEARCH(":3",AC59)),"验证不确定",IF(ISNUMBER(SEARCH(":0",AC59)),"接口未能检测",IF(ISNUMBER(SEARCH(":2",AC59)),"判定无效",IF(V59&lt;&gt;"","官网已确认-未验证","无邮箱")))))</x:f>
        <x:v>已验证有效</x:v>
      </x:c>
      <x:c r="I59" s="30" t="str">
        <x:v>+1 415-231-5252</x:v>
      </x:c>
      <x:c r="J59" s="30" t="str"/>
      <x:c r="K59" s="35" t="n">
        <x:f>ROUND((IF(H59="已验证有效",40,IF(V59&lt;&gt;"",20,0))+IF(ISNUMBER(SEARCH("状态1",Y59)),25,0)+IF(J59&lt;&gt;"",20,0)+IF(AA59&lt;&gt;"",15,0))/100,2)</x:f>
        <x:v>0.65</x:v>
      </x:c>
      <x:c r="L59" s="30" t="str">
        <x:v>待联系</x:v>
      </x:c>
      <x:c r="M59" s="30" t="str"/>
      <x:c r="N59" s="30" t="str">
        <x:v>San Francisco, California</x:v>
      </x:c>
      <x:c r="O59" s="30" t="str"/>
      <x:c r="P59" s="30" t="str">
        <x:v>暂无经营范围信息</x:v>
      </x:c>
      <x:c r="Q59" s="32" t="n">
        <x:v>3</x:v>
      </x:c>
      <x:c r="R59" s="32" t="n">
        <x:v>225958</x:v>
      </x:c>
      <x:c r="S59" s="33" t="n">
        <x:v>0</x:v>
      </x:c>
      <x:c r="T59" s="34" t="n">
        <x:v>46132.666666666664</x:v>
      </x:c>
      <x:c r="U59" s="30" t="str">
        <x:v>alex.kaliada@flexport.com; arrialnotice@flexport.com; arrivalnotice@flexport.com; arrivalnotices@flexport.com; c-atan@flexport.com; ops@flexport.com; teamverenice@flexport.com</x:v>
      </x:c>
      <x:c r="V59" s="30" t="str"/>
      <x:c r="W59" s="30" t="str">
        <x:v>4152315252; 2487035142; 4156884477; 3237638794; +1 415-231-5252; 17322667485</x:v>
      </x:c>
      <x:c r="X59" s="30" t="str"/>
      <x:c r="Y59" s="30" t="str">
        <x:v>4152315252:状态2/类型0/WhatsApp0; 2487035142:状态2/类型0/WhatsApp0; 4156884477:状态2/类型0/WhatsApp0; 3237638794:状态2/类型0/WhatsApp0; +1 415-231-5252:状态1/类型3/WhatsApp2; 17322667485:状态1/类型2/WhatsApp1</x:v>
      </x:c>
      <x:c r="Z59" s="30" t="str">
        <x:v>17322667485</x:v>
      </x:c>
      <x:c r="AA59" s="30" t="str"/>
      <x:c r="AB59" s="30" t="str"/>
      <x:c r="AC59" s="30" t="str">
        <x:v>alex.kaliada@flexport.com:0; arrialnotice@flexport.com:0; arrivalnotice@flexport.com:1; arrivalnotices@flexport.com:1; c-atan@flexport.com:0; ops@flexport.com:1; teamverenice@flexport.com:1</x:v>
      </x:c>
      <x:c r="AD59" s="30" t="str"/>
      <x:c r="AE59" s="30" t="str"/>
      <x:c r="AF59" s="30" t="str">
        <x:v>SUNGLASSES GLASSES CASE GLASSES POUCH DUAL-SIDED BOAR BRISTLE BRUSH OMEGA COPPER FINNED TUBES BRONZE HEADER PLATES/BACK PLATE WA...</x:v>
      </x:c>
      <x:c r="AG59" s="30" t="str"/>
      <x:c r="AH59" s="30" t="str"/>
      <x:c r="AI59" s="30" t="str"/>
      <x:c r="AJ59" s="30" t="str">
        <x:v>猪毛刷</x:v>
      </x:c>
      <x:c r="AK59" s="30" t="str">
        <x:v>expansion-search-boar-bristle-brush-page-01</x:v>
      </x:c>
      <x:c r="AL59" s="30" t="str">
        <x:v>UpKuajing customs company contact API</x:v>
      </x:c>
      <x:c r="AM59" s="30" t="str"/>
      <x:c r="AN59" s="30" t="str"/>
      <x:c r="AO59" s="34" t="n">
        <x:v>46220</x:v>
      </x:c>
    </x:row>
    <x:row r="60" ht="44" customHeight="1">
      <x:c r="A60" s="30" t="str">
        <x:v>API联系方式已获取</x:v>
      </x:c>
      <x:c r="B60" s="30" t="str">
        <x:v>高-欧美</x:v>
      </x:c>
      <x:c r="C60" s="30" t="str">
        <x:v>塑料桶</x:v>
      </x:c>
      <x:c r="D60" s="31" t="str">
        <x:v>71420309</x:v>
      </x:c>
      <x:c r="E60" s="30" t="str">
        <x:v>HELLMANN WORLDWIDE LOGISTICS INC.</x:v>
      </x:c>
      <x:c r="F60" s="30" t="str">
        <x:v>美国</x:v>
      </x:c>
      <x:c r="G60" s="30" t="str">
        <x:v>brokerage@hellmann.com</x:v>
      </x:c>
      <x:c r="H60" s="30" t="str">
        <x:f>IF(ISNUMBER(SEARCH(":1",AC60)),"已验证有效",IF(ISNUMBER(SEARCH(":3",AC60)),"验证不确定",IF(ISNUMBER(SEARCH(":0",AC60)),"接口未能检测",IF(ISNUMBER(SEARCH(":2",AC60)),"判定无效",IF(V60&lt;&gt;"","官网已确认-未验证","无邮箱")))))</x:f>
        <x:v>已验证有效</x:v>
      </x:c>
      <x:c r="I60" s="30" t="str">
        <x:v>12816687017</x:v>
      </x:c>
      <x:c r="J60" s="30" t="str"/>
      <x:c r="K60" s="35" t="n">
        <x:f>ROUND((IF(H60="已验证有效",40,IF(V60&lt;&gt;"",20,0))+IF(ISNUMBER(SEARCH("状态1",Y60)),25,0)+IF(J60&lt;&gt;"",20,0)+IF(AA60&lt;&gt;"",15,0))/100,2)</x:f>
        <x:v>0.4</x:v>
      </x:c>
      <x:c r="L60" s="30" t="str">
        <x:v>待联系</x:v>
      </x:c>
      <x:c r="M60" s="30" t="str"/>
      <x:c r="N60" s="30" t="str">
        <x:v>Schiller Park, Illinois</x:v>
      </x:c>
      <x:c r="O60" s="30" t="str"/>
      <x:c r="P60" s="30" t="str">
        <x:v>暂无经营范围信息</x:v>
      </x:c>
      <x:c r="Q60" s="32" t="n">
        <x:v>3</x:v>
      </x:c>
      <x:c r="R60" s="32" t="n">
        <x:v>57229</x:v>
      </x:c>
      <x:c r="S60" s="33" t="n">
        <x:v>0.0001</x:v>
      </x:c>
      <x:c r="T60" s="34" t="n">
        <x:v>46116.666666666664</x:v>
      </x:c>
      <x:c r="U60" s="30" t="str">
        <x:v>brokerage@hellmann.com; ord-ts@hellmann.com</x:v>
      </x:c>
      <x:c r="V60" s="30" t="str"/>
      <x:c r="W60" s="30" t="str">
        <x:v>12816687017; 13055944995; 13108474600; 1523326493165; 18477372511; 2816687017; 523326493165; 6192101051; 7049055228; 8477372511</x:v>
      </x:c>
      <x:c r="X60" s="30" t="str"/>
      <x:c r="Y60" s="30" t="str">
        <x:v>12816687017:状态2/类型0/WhatsApp2; 13055944995:状态2/类型0/WhatsApp2; 13108474600:状态2/类型0/WhatsApp2; 1523326493165:状态2/类型0/WhatsApp0; 18477372511:状态2/类型0/WhatsApp2; 2816687017:状态2/类型0/WhatsApp0; 523326493165:状态2/类型0/WhatsApp0; 6192101051:状态2/类型0/WhatsApp0; 7049055228:状态2/类型0/WhatsApp0; 8477372511:状态2/类型0/WhatsApp2</x:v>
      </x:c>
      <x:c r="Z60" s="30" t="str"/>
      <x:c r="AA60" s="30" t="str"/>
      <x:c r="AB60" s="30" t="str"/>
      <x:c r="AC60" s="30" t="str">
        <x:v>brokerage@hellmann.com:1; ord-ts@hellmann.com:1</x:v>
      </x:c>
      <x:c r="AD60" s="30" t="str"/>
      <x:c r="AE60" s="30" t="str"/>
      <x:c r="AF60" s="30" t="str">
        <x:v>PLASTIC BUCKET PHOTO FRAME PLASTIC BUCKET PHOTO FRAME CEL CONFETTI WOODEN DECORATION(DESKTOP ORNAMENT, SHADOWBOX,ETC) S/C RASNCD</x:v>
      </x:c>
      <x:c r="AG60" s="30" t="str"/>
      <x:c r="AH60" s="30" t="str"/>
      <x:c r="AI60" s="30" t="str"/>
      <x:c r="AJ60" s="30" t="str">
        <x:v>塑料桶</x:v>
      </x:c>
      <x:c r="AK60" s="30" t="str">
        <x:v>expansion-search-plastic-bucket-page-02</x:v>
      </x:c>
      <x:c r="AL60" s="30" t="str">
        <x:v>UpKuajing customs company contact API</x:v>
      </x:c>
      <x:c r="AM60" s="30" t="str"/>
      <x:c r="AN60" s="30" t="str"/>
      <x:c r="AO60" s="34" t="n">
        <x:v>46220</x:v>
      </x:c>
    </x:row>
    <x:row r="61" ht="44" customHeight="1">
      <x:c r="A61" s="30" t="str">
        <x:v>API联系方式已获取</x:v>
      </x:c>
      <x:c r="B61" s="30" t="str">
        <x:v>高-欧美</x:v>
      </x:c>
      <x:c r="C61" s="30" t="str">
        <x:v>刷子</x:v>
      </x:c>
      <x:c r="D61" s="31" t="str">
        <x:v>20445306</x:v>
      </x:c>
      <x:c r="E61" s="30" t="str">
        <x:v>INGRAM CONTENT GROUP</x:v>
      </x:c>
      <x:c r="F61" s="30" t="str">
        <x:v>美国</x:v>
      </x:c>
      <x:c r="G61" s="30" t="str">
        <x:v>ips@ingramcontent.com</x:v>
      </x:c>
      <x:c r="H61" s="30" t="str">
        <x:f>IF(ISNUMBER(SEARCH(":1",AC61)),"已验证有效",IF(ISNUMBER(SEARCH(":3",AC61)),"验证不确定",IF(ISNUMBER(SEARCH(":0",AC61)),"接口未能检测",IF(ISNUMBER(SEARCH(":2",AC61)),"判定无效",IF(V61&lt;&gt;"","官网已确认-未验证","无邮箱")))))</x:f>
        <x:v>已验证有效</x:v>
      </x:c>
      <x:c r="I61" s="30" t="str"/>
      <x:c r="J61" s="30" t="str">
        <x:v>ingramcontent.com</x:v>
      </x:c>
      <x:c r="K61" s="35" t="n">
        <x:f>ROUND((IF(H61="已验证有效",40,IF(V61&lt;&gt;"",20,0))+IF(ISNUMBER(SEARCH("状态1",Y61)),25,0)+IF(J61&lt;&gt;"",20,0)+IF(AA61&lt;&gt;"",15,0))/100,2)</x:f>
        <x:v>0.75</x:v>
      </x:c>
      <x:c r="L61" s="30" t="str">
        <x:v>待联系</x:v>
      </x:c>
      <x:c r="M61" s="30" t="str"/>
      <x:c r="N61" s="30" t="str">
        <x:v>la vergne, tennessee, united states 1 ingram boulevard</x:v>
      </x:c>
      <x:c r="O61" s="30" t="str"/>
      <x:c r="P61" s="30" t="str">
        <x:v>暂无经营范围信息</x:v>
      </x:c>
      <x:c r="Q61" s="32" t="n">
        <x:v>3</x:v>
      </x:c>
      <x:c r="R61" s="32" t="n">
        <x:v>2100</x:v>
      </x:c>
      <x:c r="S61" s="33" t="n">
        <x:v>0.0014000000000000002</x:v>
      </x:c>
      <x:c r="T61" s="34" t="n">
        <x:v>45584.666666666664</x:v>
      </x:c>
      <x:c r="U61" s="30" t="str">
        <x:v>busopsips@ingramcontent.com; careers@ingramcontent.us; integrate@ingramcontent.com; ips@ingramcontent.com; newaccounts@ingramcontent.com</x:v>
      </x:c>
      <x:c r="V61" s="30" t="str"/>
      <x:c r="W61" s="30" t="str"/>
      <x:c r="X61" s="30" t="str"/>
      <x:c r="Y61" s="30" t="str"/>
      <x:c r="Z61" s="30" t="str"/>
      <x:c r="AA61" s="30" t="str">
        <x:v>https://www.facebook.com/ingramcontent; https://www.linkedin.com/company/ingram-content-group; https://www.pinterest.com/ingramcontent; https://twitter.com/ingramcontent; https://www.youtube.com/user/IngramContentGrp</x:v>
      </x:c>
      <x:c r="AB61" s="30" t="str"/>
      <x:c r="AC61" s="30" t="str">
        <x:v>busopsips@ingramcontent.com:0; careers@ingramcontent.us:0; integrate@ingramcontent.com:0; ips@ingramcontent.com:1; newaccounts@ingramcontent.com:1</x:v>
      </x:c>
      <x:c r="AD61" s="30" t="str">
        <x:v>Plastic hair brush</x:v>
      </x:c>
      <x:c r="AE61" s="30" t="str">
        <x:v>塑料；Hair brush</x:v>
      </x:c>
      <x:c r="AF61" s="30" t="str">
        <x:v>PLASTIC HAIR BRUSH</x:v>
      </x:c>
      <x:c r="AG61" s="30" t="str">
        <x:v>Plastic hair comb；Plastic hair styling brush；Synthetic hair brush；Plastic hair grooming tool；Plastic hair care brush</x:v>
      </x:c>
      <x:c r="AH61" s="30" t="str">
        <x:v>塑料树脂；着色剂；Molding equipment；Raw plastic materials；Manufacturing machinery</x:v>
      </x:c>
      <x:c r="AI61" s="30" t="str">
        <x:v>Beauty salons；Personal use；Hair care products industry；Retail stores；Online marketplaces</x:v>
      </x:c>
      <x:c r="AJ61" s="30" t="str">
        <x:v>刷子</x:v>
      </x:c>
      <x:c r="AK61" s="30" t="str">
        <x:v>expansion-search-brush-page-07</x:v>
      </x:c>
      <x:c r="AL61" s="30" t="str">
        <x:v>UpKuajing customs company contact API</x:v>
      </x:c>
      <x:c r="AM61" s="30" t="str"/>
      <x:c r="AN61" s="30" t="str"/>
      <x:c r="AO61" s="34" t="n">
        <x:v>46220</x:v>
      </x:c>
    </x:row>
    <x:row r="62" ht="44" customHeight="1">
      <x:c r="A62" s="30" t="str">
        <x:v>API联系方式已获取</x:v>
      </x:c>
      <x:c r="B62" s="30" t="str">
        <x:v>高-欧美</x:v>
      </x:c>
      <x:c r="C62" s="30" t="str">
        <x:v>塑料桶</x:v>
      </x:c>
      <x:c r="D62" s="31" t="str">
        <x:v>71437825</x:v>
      </x:c>
      <x:c r="E62" s="30" t="str">
        <x:v>LAUFER GROUP INTERNATIONAL LTD.</x:v>
      </x:c>
      <x:c r="F62" s="30" t="str">
        <x:v>美国</x:v>
      </x:c>
      <x:c r="G62" s="30" t="str">
        <x:v>kcimport@laufer.com</x:v>
      </x:c>
      <x:c r="H62" s="30" t="str">
        <x:f>IF(ISNUMBER(SEARCH(":1",AC62)),"已验证有效",IF(ISNUMBER(SEARCH(":3",AC62)),"验证不确定",IF(ISNUMBER(SEARCH(":0",AC62)),"接口未能检测",IF(ISNUMBER(SEARCH(":2",AC62)),"判定无效",IF(V62&lt;&gt;"","官网已确认-未验证","无邮箱")))))</x:f>
        <x:v>接口未能检测</x:v>
      </x:c>
      <x:c r="I62" s="30" t="str">
        <x:v>+1 816-421-2233</x:v>
      </x:c>
      <x:c r="J62" s="30" t="str"/>
      <x:c r="K62" s="35" t="n">
        <x:f>ROUND((IF(H62="已验证有效",40,IF(V62&lt;&gt;"",20,0))+IF(ISNUMBER(SEARCH("状态1",Y62)),25,0)+IF(J62&lt;&gt;"",20,0)+IF(AA62&lt;&gt;"",15,0))/100,2)</x:f>
        <x:v>0.25</x:v>
      </x:c>
      <x:c r="L62" s="30" t="str">
        <x:v>待联系</x:v>
      </x:c>
      <x:c r="M62" s="30" t="str"/>
      <x:c r="N62" s="30" t="str">
        <x:v>Kansas City, Missouri</x:v>
      </x:c>
      <x:c r="O62" s="30" t="str"/>
      <x:c r="P62" s="30" t="str">
        <x:v>暂无经营范围信息</x:v>
      </x:c>
      <x:c r="Q62" s="32" t="n">
        <x:v>3</x:v>
      </x:c>
      <x:c r="R62" s="32" t="n">
        <x:v>90230</x:v>
      </x:c>
      <x:c r="S62" s="33" t="n">
        <x:v>0</x:v>
      </x:c>
      <x:c r="T62" s="34" t="n">
        <x:v>45697.666666666664</x:v>
      </x:c>
      <x:c r="U62" s="30" t="str">
        <x:v>kcimport@laufer.com; kgroves@laufer.com; ksola@laufer.com; lflny@laufer.com</x:v>
      </x:c>
      <x:c r="V62" s="30" t="str"/>
      <x:c r="W62" s="30" t="str">
        <x:v>1218797007; 14256564485; +1 816-421-2233; 18164212426; 2129453324; 2129456000; 5626281050; 6173360078; 6307576655; 6307576656; 6467388797; 6467388815; 7084584600; 8164212233; 8164212426</x:v>
      </x:c>
      <x:c r="X62" s="30" t="str"/>
      <x:c r="Y62" s="30" t="str">
        <x:v>1218797007:状态2/类型0/WhatsApp0; 14256564485:状态2/类型0/WhatsApp2; +1 816-421-2233:状态1/类型3/WhatsApp2; 18164212426:状态2/类型0/WhatsApp2; 2129453324:状态2/类型0/WhatsApp2; 2129456000:状态2/类型0/WhatsApp2; 5626281050:状态2/类型0/WhatsApp2; 6173360078:状态2/类型0/WhatsApp0; 6307576655:状态2/类型0/WhatsApp2; 6307576656:状态2/类型0/WhatsApp2; 6467388797:状态2/类型0/WhatsApp2; 6467388815:状态2/类型0/WhatsApp0; 7084584600:状态2/类型0/WhatsApp0; 8164212233:状态2/类型0/WhatsApp2; 8164212426:状态2/类型0/WhatsApp2</x:v>
      </x:c>
      <x:c r="Z62" s="30" t="str"/>
      <x:c r="AA62" s="30" t="str"/>
      <x:c r="AB62" s="30" t="str"/>
      <x:c r="AC62" s="30" t="str">
        <x:v>kcimport@laufer.com:0; kgroves@laufer.com:0; ksola@laufer.com:0; lflny@laufer.com:0</x:v>
      </x:c>
      <x:c r="AD62" s="30" t="str"/>
      <x:c r="AE62" s="30" t="str"/>
      <x:c r="AF62" s="30" t="str">
        <x:v>PLASTIC BUCKET</x:v>
      </x:c>
      <x:c r="AG62" s="30" t="str"/>
      <x:c r="AH62" s="30" t="str"/>
      <x:c r="AI62" s="30" t="str"/>
      <x:c r="AJ62" s="30" t="str">
        <x:v>塑料桶</x:v>
      </x:c>
      <x:c r="AK62" s="30" t="str">
        <x:v>expansion-search-plastic-bucket-page-03</x:v>
      </x:c>
      <x:c r="AL62" s="30" t="str">
        <x:v>UpKuajing customs company contact API</x:v>
      </x:c>
      <x:c r="AM62" s="30" t="str"/>
      <x:c r="AN62" s="30" t="str"/>
      <x:c r="AO62" s="34" t="n">
        <x:v>46220</x:v>
      </x:c>
    </x:row>
    <x:row r="63" ht="44" customHeight="1">
      <x:c r="A63" s="30" t="str">
        <x:v>API联系方式已获取</x:v>
      </x:c>
      <x:c r="B63" s="30" t="str">
        <x:v>高-欧美</x:v>
      </x:c>
      <x:c r="C63" s="30" t="str">
        <x:v>塑料桶</x:v>
      </x:c>
      <x:c r="D63" s="31" t="str">
        <x:v>71444238</x:v>
      </x:c>
      <x:c r="E63" s="30" t="str">
        <x:v>MASCOT INTERNATIONAL LOGISTICS, INC</x:v>
      </x:c>
      <x:c r="F63" s="30" t="str">
        <x:v>美国</x:v>
      </x:c>
      <x:c r="G63" s="30" t="str">
        <x:v>doc@mascot-us.com</x:v>
      </x:c>
      <x:c r="H63" s="30" t="str">
        <x:f>IF(ISNUMBER(SEARCH(":1",AC63)),"已验证有效",IF(ISNUMBER(SEARCH(":3",AC63)),"验证不确定",IF(ISNUMBER(SEARCH(":0",AC63)),"接口未能检测",IF(ISNUMBER(SEARCH(":2",AC63)),"判定无效",IF(V63&lt;&gt;"","官网已确认-未验证","无邮箱")))))</x:f>
        <x:v>已验证有效</x:v>
      </x:c>
      <x:c r="I63" s="30" t="str">
        <x:v>+1 951-268-6938</x:v>
      </x:c>
      <x:c r="J63" s="30" t="str"/>
      <x:c r="K63" s="35" t="n">
        <x:f>ROUND((IF(H63="已验证有效",40,IF(V63&lt;&gt;"",20,0))+IF(ISNUMBER(SEARCH("状态1",Y63)),25,0)+IF(J63&lt;&gt;"",20,0)+IF(AA63&lt;&gt;"",15,0))/100,2)</x:f>
        <x:v>0.65</x:v>
      </x:c>
      <x:c r="L63" s="30" t="str">
        <x:v>待联系</x:v>
      </x:c>
      <x:c r="M63" s="30" t="str"/>
      <x:c r="N63" s="30" t="str">
        <x:v>Corona, California</x:v>
      </x:c>
      <x:c r="O63" s="30" t="str"/>
      <x:c r="P63" s="30" t="str">
        <x:v>暂无经营范围信息</x:v>
      </x:c>
      <x:c r="Q63" s="32" t="n">
        <x:v>3</x:v>
      </x:c>
      <x:c r="R63" s="32" t="n">
        <x:v>7832</x:v>
      </x:c>
      <x:c r="S63" s="33" t="n">
        <x:v>0.0004</x:v>
      </x:c>
      <x:c r="T63" s="34" t="n">
        <x:v>45933.666666666664</x:v>
      </x:c>
      <x:c r="U63" s="30" t="str">
        <x:v>doc@mascot-us.com</x:v>
      </x:c>
      <x:c r="V63" s="30" t="str"/>
      <x:c r="W63" s="30" t="str">
        <x:v>+1 951-268-6938; +95 1 268 6938</x:v>
      </x:c>
      <x:c r="X63" s="30" t="str"/>
      <x:c r="Y63" s="30" t="str">
        <x:v>+1 951-268-6938:状态1/类型3/WhatsApp2; +95 1 268 6938:状态1/类型1/WhatsApp0</x:v>
      </x:c>
      <x:c r="Z63" s="30" t="str"/>
      <x:c r="AA63" s="30" t="str"/>
      <x:c r="AB63" s="30" t="str"/>
      <x:c r="AC63" s="30" t="str">
        <x:v>doc@mascot-us.com:1</x:v>
      </x:c>
      <x:c r="AD63" s="30" t="str"/>
      <x:c r="AE63" s="30" t="str"/>
      <x:c r="AF63" s="30" t="str">
        <x:v>PLASTIC BUCKET THIS SHIPMENT CONTAINS NO WOOD PACKAGING MATERIALS</x:v>
      </x:c>
      <x:c r="AG63" s="30" t="str"/>
      <x:c r="AH63" s="30" t="str"/>
      <x:c r="AI63" s="30" t="str"/>
      <x:c r="AJ63" s="30" t="str">
        <x:v>塑料桶</x:v>
      </x:c>
      <x:c r="AK63" s="30" t="str">
        <x:v>expansion-search-plastic-bucket-page-03</x:v>
      </x:c>
      <x:c r="AL63" s="30" t="str">
        <x:v>UpKuajing customs company contact API</x:v>
      </x:c>
      <x:c r="AM63" s="30" t="str"/>
      <x:c r="AN63" s="30" t="str"/>
      <x:c r="AO63" s="34" t="n">
        <x:v>46220</x:v>
      </x:c>
    </x:row>
    <x:row r="64" ht="44" customHeight="1">
      <x:c r="A64" s="30" t="str">
        <x:v>API联系方式已获取</x:v>
      </x:c>
      <x:c r="B64" s="30" t="str">
        <x:v>高-欧美</x:v>
      </x:c>
      <x:c r="C64" s="30" t="str">
        <x:v>塑料桶</x:v>
      </x:c>
      <x:c r="D64" s="31" t="str">
        <x:v>224888</x:v>
      </x:c>
      <x:c r="E64" s="30" t="str">
        <x:v>matsui international co</x:v>
      </x:c>
      <x:c r="F64" s="30" t="str">
        <x:v>美国</x:v>
      </x:c>
      <x:c r="G64" s="30" t="str">
        <x:v>info@matsui-color.com</x:v>
      </x:c>
      <x:c r="H64" s="30" t="str">
        <x:f>IF(ISNUMBER(SEARCH(":1",AC64)),"已验证有效",IF(ISNUMBER(SEARCH(":3",AC64)),"验证不确定",IF(ISNUMBER(SEARCH(":0",AC64)),"接口未能检测",IF(ISNUMBER(SEARCH(":2",AC64)),"判定无效",IF(V64&lt;&gt;"","官网已确认-未验证","无邮箱")))))</x:f>
        <x:v>已验证有效</x:v>
      </x:c>
      <x:c r="I64" s="30" t="str">
        <x:v>+1 800-359-5679</x:v>
      </x:c>
      <x:c r="J64" s="30" t="str">
        <x:v>www.matsui-color.com</x:v>
      </x:c>
      <x:c r="K64" s="35" t="n">
        <x:f>ROUND((IF(H64="已验证有效",40,IF(V64&lt;&gt;"",20,0))+IF(ISNUMBER(SEARCH("状态1",Y64)),25,0)+IF(J64&lt;&gt;"",20,0)+IF(AA64&lt;&gt;"",15,0))/100,2)</x:f>
        <x:v>0.85</x:v>
      </x:c>
      <x:c r="L64" s="30" t="str">
        <x:v>待联系</x:v>
      </x:c>
      <x:c r="M64" s="30" t="str"/>
      <x:c r="N64" s="30" t="str">
        <x:v>1501 west 178th street, gardena, ca 90248</x:v>
      </x:c>
      <x:c r="O64" s="30" t="str"/>
      <x:c r="P64" s="30" t="str">
        <x:v>印花色浆，蓝色，24，顶部，鳕鱼，丙烯酸树脂，水，冰，油墨，藤蔓，印刷油墨，8，颜料分散体，装饰，纺织，丁，橙色，21，300</x:v>
      </x:c>
      <x:c r="Q64" s="32" t="n">
        <x:v>3</x:v>
      </x:c>
      <x:c r="R64" s="32" t="n">
        <x:v>739</x:v>
      </x:c>
      <x:c r="S64" s="33" t="n">
        <x:v>0.0040999999999999995</x:v>
      </x:c>
      <x:c r="T64" s="34" t="n">
        <x:v>46176.666666666664</x:v>
      </x:c>
      <x:c r="U64" s="30" t="str">
        <x:v>info@matsui-color.com</x:v>
      </x:c>
      <x:c r="V64" s="30" t="str"/>
      <x:c r="W64" s="30" t="str">
        <x:v>+1 800-359-5679</x:v>
      </x:c>
      <x:c r="X64" s="30" t="str"/>
      <x:c r="Y64" s="30" t="str">
        <x:v>+1 800-359-5679:状态1/类型3/WhatsApp2</x:v>
      </x:c>
      <x:c r="Z64" s="30" t="str"/>
      <x:c r="AA64" s="30" t="str"/>
      <x:c r="AB64" s="30" t="str"/>
      <x:c r="AC64" s="30" t="str">
        <x:v>info@matsui-color.com:1</x:v>
      </x:c>
      <x:c r="AD64" s="30" t="str"/>
      <x:c r="AE64" s="30" t="str">
        <x:v>plastic drum；textile finishing agent；cod；gh；塑料桶；carton</x:v>
      </x:c>
      <x:c r="AF64" s="30" t="str">
        <x:v>TEXTILE FINISHING AGENT TOTAL NET WEIGHT : 14,130.16KGS HS CODE : 3906.90/3204.17/ 3809.91/3402.90/2834.29 54 CARTONS 415 PLASTIC PAILS 48 PLASTIC DRUMS 517 PACKAGES&lt;br/&gt;</x:v>
      </x:c>
      <x:c r="AG64" s="30" t="str"/>
      <x:c r="AH64" s="30" t="str"/>
      <x:c r="AI64" s="30" t="str"/>
      <x:c r="AJ64" s="30" t="str">
        <x:v>塑料桶</x:v>
      </x:c>
      <x:c r="AK64" s="30" t="str">
        <x:v>expansion-search-plastic-pail-page-02; expansion-search-plastic-pail-page-03</x:v>
      </x:c>
      <x:c r="AL64" s="30" t="str">
        <x:v>UpKuajing customs company contact API</x:v>
      </x:c>
      <x:c r="AM64" s="30" t="str"/>
      <x:c r="AN64" s="30" t="str"/>
      <x:c r="AO64" s="34" t="n">
        <x:v>46220</x:v>
      </x:c>
    </x:row>
    <x:row r="65" ht="44" customHeight="1">
      <x:c r="A65" s="30" t="str">
        <x:v>API联系方式已获取</x:v>
      </x:c>
      <x:c r="B65" s="30" t="str">
        <x:v>高-欧美</x:v>
      </x:c>
      <x:c r="C65" s="30" t="str">
        <x:v>遮蔽膜</x:v>
      </x:c>
      <x:c r="D65" s="31" t="str">
        <x:v>22633164</x:v>
      </x:c>
      <x:c r="E65" s="30" t="str">
        <x:v>TCP GLOBAL CORPORATION</x:v>
      </x:c>
      <x:c r="F65" s="30" t="str">
        <x:v>美国</x:v>
      </x:c>
      <x:c r="G65" s="30" t="str">
        <x:v>pport@tcpglobal.com</x:v>
      </x:c>
      <x:c r="H65" s="30" t="str">
        <x:f>IF(ISNUMBER(SEARCH(":1",AC65)),"已验证有效",IF(ISNUMBER(SEARCH(":3",AC65)),"验证不确定",IF(ISNUMBER(SEARCH(":0",AC65)),"接口未能检测",IF(ISNUMBER(SEARCH(":2",AC65)),"判定无效",IF(V65&lt;&gt;"","官网已确认-未验证","无邮箱")))))</x:f>
        <x:v>已验证有效</x:v>
      </x:c>
      <x:c r="I65" s="30" t="str">
        <x:v>+1 858-909-2110</x:v>
      </x:c>
      <x:c r="J65" s="30" t="str">
        <x:v>tcpglobal.com</x:v>
      </x:c>
      <x:c r="K65" s="35" t="n">
        <x:f>ROUND((IF(H65="已验证有效",40,IF(V65&lt;&gt;"",20,0))+IF(ISNUMBER(SEARCH("状态1",Y65)),25,0)+IF(J65&lt;&gt;"",20,0)+IF(AA65&lt;&gt;"",15,0))/100,2)</x:f>
        <x:v>1</x:v>
      </x:c>
      <x:c r="L65" s="30" t="str">
        <x:v>待联系</x:v>
      </x:c>
      <x:c r="M65" s="30" t="str"/>
      <x:c r="N65" s="30" t="str">
        <x:v>san diego, california, united states 6695 rasha street</x:v>
      </x:c>
      <x:c r="O65" s="30" t="str"/>
      <x:c r="P65" s="30" t="str">
        <x:v>暂无经营范围信息</x:v>
      </x:c>
      <x:c r="Q65" s="32" t="n">
        <x:v>3</x:v>
      </x:c>
      <x:c r="R65" s="32" t="n">
        <x:v>397</x:v>
      </x:c>
      <x:c r="S65" s="33" t="n">
        <x:v>0.0076</x:v>
      </x:c>
      <x:c r="T65" s="34" t="n">
        <x:v>46009.666666666664</x:v>
      </x:c>
      <x:c r="U65" s="30" t="str">
        <x:v>pport@tcpglobal.com; support@tcpglobal.com</x:v>
      </x:c>
      <x:c r="V65" s="30" t="str"/>
      <x:c r="W65" s="30" t="str">
        <x:v>+1 858-909-2110</x:v>
      </x:c>
      <x:c r="X65" s="30" t="str"/>
      <x:c r="Y65" s="30" t="str">
        <x:v>+1 858-909-2110:状态1/类型3/WhatsApp2</x:v>
      </x:c>
      <x:c r="Z65" s="30" t="str"/>
      <x:c r="AA65" s="30" t="str">
        <x:v>https://www.facebook.com/TCPGlobal; https://www.instagram.com/TCPGlobal; https://www.linkedin.com/company/tcpglobal; https://www.youtube.com/c/tcpglobal</x:v>
      </x:c>
      <x:c r="AB65" s="30" t="str"/>
      <x:c r="AC65" s="30" t="str">
        <x:v>pport@tcpglobal.com:1; support@tcpglobal.com:1</x:v>
      </x:c>
      <x:c r="AD65" s="30" t="str"/>
      <x:c r="AE65" s="30" t="str"/>
      <x:c r="AF65" s="30" t="str">
        <x:v>MASKING FILM, PAPER TAPED MASKING FILM, PROTECTION FILM, CRASH WRAP FILM PO NO. </x:v>
      </x:c>
      <x:c r="AG65" s="30" t="str"/>
      <x:c r="AH65" s="30" t="str"/>
      <x:c r="AI65" s="30" t="str"/>
      <x:c r="AJ65" s="30" t="str">
        <x:v>遮蔽膜</x:v>
      </x:c>
      <x:c r="AK65" s="30" t="str">
        <x:v>expansion-search-masking-film-page-02</x:v>
      </x:c>
      <x:c r="AL65" s="30" t="str">
        <x:v>UpKuajing customs company contact API</x:v>
      </x:c>
      <x:c r="AM65" s="30" t="str"/>
      <x:c r="AN65" s="30" t="str"/>
      <x:c r="AO65" s="34" t="n">
        <x:v>46220</x:v>
      </x:c>
    </x:row>
    <x:row r="66" ht="44" customHeight="1">
      <x:c r="A66" s="30" t="str">
        <x:v>API联系方式已获取</x:v>
      </x:c>
      <x:c r="B66" s="30" t="str">
        <x:v>高-欧美</x:v>
      </x:c>
      <x:c r="C66" s="30" t="str">
        <x:v>猪毛刷</x:v>
      </x:c>
      <x:c r="D66" s="31" t="str">
        <x:v>71499290</x:v>
      </x:c>
      <x:c r="E66" s="30" t="str">
        <x:v>US PACIFIC TRANSPORT INC.</x:v>
      </x:c>
      <x:c r="F66" s="30" t="str">
        <x:v>美国</x:v>
      </x:c>
      <x:c r="G66" s="30" t="str">
        <x:v>uspti.ny@usptiusa.com</x:v>
      </x:c>
      <x:c r="H66" s="30" t="str">
        <x:f>IF(ISNUMBER(SEARCH(":1",AC66)),"已验证有效",IF(ISNUMBER(SEARCH(":3",AC66)),"验证不确定",IF(ISNUMBER(SEARCH(":0",AC66)),"接口未能检测",IF(ISNUMBER(SEARCH(":2",AC66)),"判定无效",IF(V66&lt;&gt;"","官网已确认-未验证","无邮箱")))))</x:f>
        <x:v>已验证有效</x:v>
      </x:c>
      <x:c r="I66" s="30" t="str">
        <x:v>+852 3579 2802</x:v>
      </x:c>
      <x:c r="J66" s="30" t="str"/>
      <x:c r="K66" s="35" t="n">
        <x:f>ROUND((IF(H66="已验证有效",40,IF(V66&lt;&gt;"",20,0))+IF(ISNUMBER(SEARCH("状态1",Y66)),25,0)+IF(J66&lt;&gt;"",20,0)+IF(AA66&lt;&gt;"",15,0))/100,2)</x:f>
        <x:v>0.65</x:v>
      </x:c>
      <x:c r="L66" s="30" t="str">
        <x:v>待联系</x:v>
      </x:c>
      <x:c r="M66" s="30" t="str"/>
      <x:c r="N66" s="30" t="str">
        <x:v>Flushing, New York</x:v>
      </x:c>
      <x:c r="O66" s="30" t="str"/>
      <x:c r="P66" s="30" t="str">
        <x:v>暂无经营范围信息</x:v>
      </x:c>
      <x:c r="Q66" s="32" t="n">
        <x:v>3</x:v>
      </x:c>
      <x:c r="R66" s="32" t="n">
        <x:v>42284</x:v>
      </x:c>
      <x:c r="S66" s="33" t="n">
        <x:v>0.0001</x:v>
      </x:c>
      <x:c r="T66" s="34" t="n">
        <x:v>45869.666666666664</x:v>
      </x:c>
      <x:c r="U66" s="30" t="str">
        <x:v>uspti.ny@usptiusa.com</x:v>
      </x:c>
      <x:c r="V66" s="30" t="str"/>
      <x:c r="W66" s="30" t="str">
        <x:v>7186328686; 7186328693; +852 3579 2802; +1 718-632-8686</x:v>
      </x:c>
      <x:c r="X66" s="30" t="str"/>
      <x:c r="Y66" s="30" t="str">
        <x:v>7186328686:状态2/类型0/WhatsApp0; 7186328693:状态2/类型0/WhatsApp0; +852 3579 2802:状态1/类型1/WhatsApp0; +1 718-632-8686:状态1/类型3/WhatsApp2</x:v>
      </x:c>
      <x:c r="Z66" s="30" t="str"/>
      <x:c r="AA66" s="30" t="str"/>
      <x:c r="AB66" s="30" t="str"/>
      <x:c r="AC66" s="30" t="str">
        <x:v>uspti.ny@usptiusa.com:1</x:v>
      </x:c>
      <x:c r="AD66" s="30" t="str">
        <x:v>Comb；Hair-slide；Boar Bristle Brush；Wooden Bristle Brush</x:v>
      </x:c>
      <x:c r="AE66" s="30" t="str">
        <x:v>Comb；Hair-slide；Boar；Wooden；刷子</x:v>
      </x:c>
      <x:c r="AF66" s="30" t="str">
        <x:v>COMBS HAIR-SLIDES AND THE LIKE NESOI RED PROFESSIONAL 100 BOAR MED C.BRUSH,WOODEN RED PROFESSIONAL 2-SIDED PM.BRISTLE BRUSH,WOOD...</x:v>
      </x:c>
      <x:c r="AG66" s="30" t="str">
        <x:v>Hair Comb；Hair Clip；Pig Bristle Brush；Timber Bristle Brush；Hair Ornament</x:v>
      </x:c>
      <x:c r="AH66" s="30" t="str">
        <x:v>Boar Hair；Wood；塑料；金属；Resin</x:v>
      </x:c>
      <x:c r="AI66" s="30" t="str">
        <x:v>Salon；Beauty Shop；Retail Store；Online Shop；Personal Use</x:v>
      </x:c>
      <x:c r="AJ66" s="30" t="str">
        <x:v>猪毛刷</x:v>
      </x:c>
      <x:c r="AK66" s="30" t="str">
        <x:v>expansion-search-boar-bristle-brush-page-01</x:v>
      </x:c>
      <x:c r="AL66" s="30" t="str">
        <x:v>UpKuajing customs company contact API</x:v>
      </x:c>
      <x:c r="AM66" s="30" t="str"/>
      <x:c r="AN66" s="30" t="str"/>
      <x:c r="AO66" s="34" t="n">
        <x:v>46220</x:v>
      </x:c>
    </x:row>
    <x:row r="67" ht="44" customHeight="1">
      <x:c r="A67" s="30" t="str">
        <x:v>API联系方式已获取</x:v>
      </x:c>
      <x:c r="B67" s="30" t="str">
        <x:v>高-欧美</x:v>
      </x:c>
      <x:c r="C67" s="30" t="str">
        <x:v>塑料桶</x:v>
      </x:c>
      <x:c r="D67" s="31" t="str">
        <x:v>227189</x:v>
      </x:c>
      <x:c r="E67" s="30" t="str">
        <x:v>w y international inc.</x:v>
      </x:c>
      <x:c r="F67" s="30" t="str">
        <x:v>美国</x:v>
      </x:c>
      <x:c r="G67" s="30" t="str">
        <x:v>sales@rwintl.com</x:v>
      </x:c>
      <x:c r="H67" s="30" t="str">
        <x:f>IF(ISNUMBER(SEARCH(":1",AC67)),"已验证有效",IF(ISNUMBER(SEARCH(":3",AC67)),"验证不确定",IF(ISNUMBER(SEARCH(":0",AC67)),"接口未能检测",IF(ISNUMBER(SEARCH(":2",AC67)),"判定无效",IF(V67&lt;&gt;"","官网已确认-未验证","无邮箱")))))</x:f>
        <x:v>已验证有效</x:v>
      </x:c>
      <x:c r="I67" s="30" t="str">
        <x:v>+1 713-827-0655</x:v>
      </x:c>
      <x:c r="J67" s="30" t="str">
        <x:v>http://www.rwintl.com</x:v>
      </x:c>
      <x:c r="K67" s="35" t="n">
        <x:f>ROUND((IF(H67="已验证有效",40,IF(V67&lt;&gt;"",20,0))+IF(ISNUMBER(SEARCH("状态1",Y67)),25,0)+IF(J67&lt;&gt;"",20,0)+IF(AA67&lt;&gt;"",15,0))/100,2)</x:f>
        <x:v>0.85</x:v>
      </x:c>
      <x:c r="L67" s="30" t="str">
        <x:v>待联系</x:v>
      </x:c>
      <x:c r="M67" s="30" t="str"/>
      <x:c r="N67" s="30" t="str">
        <x:v>po box 842221, houston, texas 77284, usa</x:v>
      </x:c>
      <x:c r="O67" s="30" t="str"/>
      <x:c r="P67" s="30" t="str">
        <x:v>黄进，塔贝，麦芽酒，夹子，四川，甜酸酱，垫机，藤，风味，酱油甜，姜，小黄瓜，挂，罐，车床机，2通道</x:v>
      </x:c>
      <x:c r="Q67" s="32" t="n">
        <x:v>3</x:v>
      </x:c>
      <x:c r="R67" s="32" t="n">
        <x:v>8216</x:v>
      </x:c>
      <x:c r="S67" s="33" t="n">
        <x:v>0.0004</x:v>
      </x:c>
      <x:c r="T67" s="34" t="n">
        <x:v>46163.666666666664</x:v>
      </x:c>
      <x:c r="U67" s="30" t="str">
        <x:v>sales@rwintl.com</x:v>
      </x:c>
      <x:c r="V67" s="30" t="str"/>
      <x:c r="W67" s="30" t="str">
        <x:v>+1 713-827-0655</x:v>
      </x:c>
      <x:c r="X67" s="30" t="str"/>
      <x:c r="Y67" s="30" t="str">
        <x:v>+1 713-827-0655:状态1/类型3/WhatsApp2</x:v>
      </x:c>
      <x:c r="Z67" s="30" t="str"/>
      <x:c r="AA67" s="30" t="str"/>
      <x:c r="AB67" s="30" t="str"/>
      <x:c r="AC67" s="30" t="str">
        <x:v>sales@rwintl.com:1</x:v>
      </x:c>
      <x:c r="AD67" s="30" t="str"/>
      <x:c r="AE67" s="30" t="str">
        <x:v>light soy sauce；peri；塑料桶</x:v>
      </x:c>
      <x:c r="AF67" s="30" t="str">
        <x:v>SUPERIOR LIGHT SOY SAUCE, 1.8LX12 PLASTIC PAILS;SUPERIOR DAR&lt;br/&gt;SUPERIOR LIGHT SOY SAUCE, 1.8LX12 PLASTIC PAILS;SUPERIOR DAR&lt;br/&gt;</x:v>
      </x:c>
      <x:c r="AG67" s="30" t="str"/>
      <x:c r="AH67" s="30" t="str"/>
      <x:c r="AI67" s="30" t="str"/>
      <x:c r="AJ67" s="30" t="str">
        <x:v>塑料桶</x:v>
      </x:c>
      <x:c r="AK67" s="30" t="str">
        <x:v>expansion-search-plastic-pail-page-03</x:v>
      </x:c>
      <x:c r="AL67" s="30" t="str">
        <x:v>UpKuajing customs company contact API</x:v>
      </x:c>
      <x:c r="AM67" s="30" t="str"/>
      <x:c r="AN67" s="30" t="str"/>
      <x:c r="AO67" s="34" t="n">
        <x:v>46220</x:v>
      </x:c>
    </x:row>
    <x:row r="68" ht="44" customHeight="1">
      <x:c r="A68" s="30" t="str">
        <x:v>API联系方式已获取</x:v>
      </x:c>
      <x:c r="B68" s="30" t="str">
        <x:v>高-欧美</x:v>
      </x:c>
      <x:c r="C68" s="30" t="str">
        <x:v>塑料桶</x:v>
      </x:c>
      <x:c r="D68" s="31" t="str">
        <x:v>212086</x:v>
      </x:c>
      <x:c r="E68" s="30" t="str">
        <x:v>allied cans ltd.</x:v>
      </x:c>
      <x:c r="F68" s="30" t="str">
        <x:v>美国</x:v>
      </x:c>
      <x:c r="G68" s="30" t="str">
        <x:v>info@alliedcans.com</x:v>
      </x:c>
      <x:c r="H68" s="30" t="str">
        <x:f>IF(ISNUMBER(SEARCH(":1",AC68)),"已验证有效",IF(ISNUMBER(SEARCH(":3",AC68)),"验证不确定",IF(ISNUMBER(SEARCH(":0",AC68)),"接口未能检测",IF(ISNUMBER(SEARCH(":2",AC68)),"判定无效",IF(V68&lt;&gt;"","官网已确认-未验证","无邮箱")))))</x:f>
        <x:v>已验证有效</x:v>
      </x:c>
      <x:c r="I68" s="30" t="str">
        <x:v>+1 905-450-5100</x:v>
      </x:c>
      <x:c r="J68" s="30" t="str">
        <x:v>http://www.alliedcans.com/</x:v>
      </x:c>
      <x:c r="K68" s="35" t="n">
        <x:f>ROUND((IF(H68="已验证有效",40,IF(V68&lt;&gt;"",20,0))+IF(ISNUMBER(SEARCH("状态1",Y68)),25,0)+IF(J68&lt;&gt;"",20,0)+IF(AA68&lt;&gt;"",15,0))/100,2)</x:f>
        <x:v>0.85</x:v>
      </x:c>
      <x:c r="L68" s="30" t="str">
        <x:v>待联系</x:v>
      </x:c>
      <x:c r="M68" s="30" t="str"/>
      <x:c r="N68" s="30" t="str">
        <x:v>56 bramsteele road, unit – 6, brampton. on. l6w 3m5.canada.</x:v>
      </x:c>
      <x:c r="O68" s="30" t="str"/>
      <x:c r="P68" s="30" t="str">
        <x:v>马口铁盖，马口铁罐，预涂，桶，片材，马口铁片，包装材料，手柄，金属桶，立方体，金属环，营地，油漆，镀锌丝</x:v>
      </x:c>
      <x:c r="Q68" s="32" t="n">
        <x:v>2</x:v>
      </x:c>
      <x:c r="R68" s="32" t="n">
        <x:v>1151</x:v>
      </x:c>
      <x:c r="S68" s="33" t="n">
        <x:v>0.0017000000000000001</x:v>
      </x:c>
      <x:c r="T68" s="34" t="n">
        <x:v>45608.666666666664</x:v>
      </x:c>
      <x:c r="U68" s="30" t="str">
        <x:v>info@alliedcans.com; sales@alliedcans.com</x:v>
      </x:c>
      <x:c r="V68" s="30" t="str"/>
      <x:c r="W68" s="30" t="str">
        <x:v>+1 905-450-5100</x:v>
      </x:c>
      <x:c r="X68" s="30" t="str"/>
      <x:c r="Y68" s="30" t="str">
        <x:v>+1 905-450-5100:状态1/类型3/WhatsApp2</x:v>
      </x:c>
      <x:c r="Z68" s="30" t="str"/>
      <x:c r="AA68" s="30" t="str"/>
      <x:c r="AB68" s="30" t="str"/>
      <x:c r="AC68" s="30" t="str">
        <x:v>info@alliedcans.com:1; sales@alliedcans.com:1</x:v>
      </x:c>
      <x:c r="AD68" s="30" t="str">
        <x:v>Tin sheets；Bottom for containers；Plastic bucket and lids</x:v>
      </x:c>
      <x:c r="AE68" s="30" t="str">
        <x:v>Tin；塑料；Sheet；Bucket；Lid</x:v>
      </x:c>
      <x:c r="AF68" s="30" t="str">
        <x:v>10 BULTOS CON LAMINAS DE HOJAL ATA (TIN SHEETS) / 9 BULTOS CO N FONDOS DE HOJALATA P/ENVASES (BOTTOM) // 22 BULTOS CON CUB ETA PLASTICA Y SUS TAPAS (PLAS TIC BUCKET AND LIDS)</x:v>
      </x:c>
      <x:c r="AG68" s="30" t="str">
        <x:v>Tin plate；Metal bottom；Plastic pail and covers</x:v>
      </x:c>
      <x:c r="AH68" s="30" t="str">
        <x:v>Tin ore；塑料树脂；Metal alloy；Petrochemicals；Minerals</x:v>
      </x:c>
      <x:c r="AI68" s="30" t="str">
        <x:v>Food packaging；Industrial storage；Home storage；Chemical containers；Agricultural use</x:v>
      </x:c>
      <x:c r="AJ68" s="30" t="str">
        <x:v>塑料桶</x:v>
      </x:c>
      <x:c r="AK68" s="30" t="str">
        <x:v>expansion-search-plastic-pail-page-02</x:v>
      </x:c>
      <x:c r="AL68" s="30" t="str">
        <x:v>UpKuajing customs company contact API</x:v>
      </x:c>
      <x:c r="AM68" s="30" t="str"/>
      <x:c r="AN68" s="30" t="str"/>
      <x:c r="AO68" s="34" t="n">
        <x:v>46220</x:v>
      </x:c>
    </x:row>
    <x:row r="69" ht="44" customHeight="1">
      <x:c r="A69" s="30" t="str">
        <x:v>API联系方式已获取</x:v>
      </x:c>
      <x:c r="B69" s="30" t="str">
        <x:v>高-欧美</x:v>
      </x:c>
      <x:c r="C69" s="30" t="str">
        <x:v>胶带</x:v>
      </x:c>
      <x:c r="D69" s="31" t="str">
        <x:v>20433668</x:v>
      </x:c>
      <x:c r="E69" s="30" t="str">
        <x:v>CELS INC</x:v>
      </x:c>
      <x:c r="F69" s="30" t="str">
        <x:v>美国</x:v>
      </x:c>
      <x:c r="G69" s="30" t="str">
        <x:v>rhs@iatcoinc.com</x:v>
      </x:c>
      <x:c r="H69" s="30" t="str">
        <x:f>IF(ISNUMBER(SEARCH(":1",AC69)),"已验证有效",IF(ISNUMBER(SEARCH(":3",AC69)),"验证不确定",IF(ISNUMBER(SEARCH(":0",AC69)),"接口未能检测",IF(ISNUMBER(SEARCH(":2",AC69)),"判定无效",IF(V69&lt;&gt;"","官网已确认-未验证","无邮箱")))))</x:f>
        <x:v>已验证有效</x:v>
      </x:c>
      <x:c r="I69" s="30" t="str">
        <x:v>+1 847-299-1100</x:v>
      </x:c>
      <x:c r="J69" s="30" t="str">
        <x:v>www.iatcoinc.com</x:v>
      </x:c>
      <x:c r="K69" s="35" t="n">
        <x:f>ROUND((IF(H69="已验证有效",40,IF(V69&lt;&gt;"",20,0))+IF(ISNUMBER(SEARCH("状态1",Y69)),25,0)+IF(J69&lt;&gt;"",20,0)+IF(AA69&lt;&gt;"",15,0))/100,2)</x:f>
        <x:v>0.85</x:v>
      </x:c>
      <x:c r="L69" s="30" t="str">
        <x:v>待联系</x:v>
      </x:c>
      <x:c r="M69" s="30" t="str"/>
      <x:c r="N69" s="30" t="str">
        <x:v>1669 marshall drive des plaines il 60018-1840</x:v>
      </x:c>
      <x:c r="O69" s="30" t="str"/>
      <x:c r="P69" s="30" t="str">
        <x:v>2，轴软管，木制，杠杆块，黄油嘴，铆钉，离合器盖，海，臂，铸造离合器，飞轮组件，单元，门，环，计数</x:v>
      </x:c>
      <x:c r="Q69" s="32" t="n">
        <x:v>2</x:v>
      </x:c>
      <x:c r="R69" s="32" t="n">
        <x:v>1256</x:v>
      </x:c>
      <x:c r="S69" s="33" t="n">
        <x:v>0.0016</x:v>
      </x:c>
      <x:c r="T69" s="34" t="n">
        <x:v>45603.666666666664</x:v>
      </x:c>
      <x:c r="U69" s="30" t="str">
        <x:v>rhs@iatcoinc.com</x:v>
      </x:c>
      <x:c r="V69" s="30" t="str"/>
      <x:c r="W69" s="30" t="str">
        <x:v>+1 847-299-1100</x:v>
      </x:c>
      <x:c r="X69" s="30" t="str"/>
      <x:c r="Y69" s="30" t="str">
        <x:v>+1 847-299-1100:状态1/类型3/WhatsApp2</x:v>
      </x:c>
      <x:c r="Z69" s="30" t="str"/>
      <x:c r="AA69" s="30" t="str"/>
      <x:c r="AB69" s="30" t="str"/>
      <x:c r="AC69" s="30" t="str">
        <x:v>rhs@iatcoinc.com:1</x:v>
      </x:c>
      <x:c r="AD69" s="30" t="str">
        <x:v>Security Tape；Metal Components；Manifold Sub Assembly；Enclosure Manifold；Exhaust Hole</x:v>
      </x:c>
      <x:c r="AE69" s="30" t="str">
        <x:v>Security；胶带；金属；Manifold；Exhaust</x:v>
      </x:c>
      <x:c r="AF69" s="30" t="str">
        <x:v>CLEAR SECURITY TAPE METAL COMPONENTS 00002 B05 W 1 MANIFOLD SUB ASSEMBLY W/ 00004 A02 IAIR3 ENCLOSURE MANIFOLD IAIR3 TYPE VIII S/A(002790 MANIFOLD WITH 002793 NO LOGO COVER) /(TPP) ENLARGE 3 MM EXHAUST HOLE WITH 000127AA ORIFICE 114 CTNS(4 WOOD PALLETS...</x:v>
      </x:c>
      <x:c r="AG69" s="30" t="str">
        <x:v>Safety Tape；Metal Parts；Manifold Assembly；Enclosure Unit；Exhaust Opening</x:v>
      </x:c>
      <x:c r="AH69" s="30" t="str">
        <x:v>塑料树脂；Metal Alloy；橡胶；Steel；Aluminum</x:v>
      </x:c>
      <x:c r="AI69" s="30" t="str">
        <x:v>Automotive Industry；Electronics Industry；Machinery Manufacturing；Aerospace Industry；Industrial Equipment</x:v>
      </x:c>
      <x:c r="AJ69" s="30" t="str">
        <x:v>胶带</x:v>
      </x:c>
      <x:c r="AK69" s="30" t="str">
        <x:v>expansion-search-tape-page-02</x:v>
      </x:c>
      <x:c r="AL69" s="30" t="str">
        <x:v>UpKuajing customs company contact API</x:v>
      </x:c>
      <x:c r="AM69" s="30" t="str"/>
      <x:c r="AN69" s="30" t="str"/>
      <x:c r="AO69" s="34" t="n">
        <x:v>46220</x:v>
      </x:c>
    </x:row>
    <x:row r="70" ht="44" customHeight="1">
      <x:c r="A70" s="30" t="str">
        <x:v>API联系方式已获取</x:v>
      </x:c>
      <x:c r="B70" s="30" t="str">
        <x:v>高-欧美</x:v>
      </x:c>
      <x:c r="C70" s="30" t="str">
        <x:v>猪毛刷；PVC护角条</x:v>
      </x:c>
      <x:c r="D70" s="31" t="str">
        <x:v>71396678</x:v>
      </x:c>
      <x:c r="E70" s="30" t="str">
        <x:v>DHY SHIPPING LINE INC.</x:v>
      </x:c>
      <x:c r="F70" s="30" t="str">
        <x:v>美国</x:v>
      </x:c>
      <x:c r="G70" s="30" t="str">
        <x:v>doc@dhyshippingline.com</x:v>
      </x:c>
      <x:c r="H70" s="30" t="str">
        <x:f>IF(ISNUMBER(SEARCH(":1",AC70)),"已验证有效",IF(ISNUMBER(SEARCH(":3",AC70)),"验证不确定",IF(ISNUMBER(SEARCH(":0",AC70)),"接口未能检测",IF(ISNUMBER(SEARCH(":2",AC70)),"判定无效",IF(V70&lt;&gt;"","官网已确认-未验证","无邮箱")))))</x:f>
        <x:v>已验证有效</x:v>
      </x:c>
      <x:c r="I70" s="30" t="str">
        <x:v>+1 310-818-3210</x:v>
      </x:c>
      <x:c r="J70" s="30" t="str"/>
      <x:c r="K70" s="35" t="n">
        <x:f>ROUND((IF(H70="已验证有效",40,IF(V70&lt;&gt;"",20,0))+IF(ISNUMBER(SEARCH("状态1",Y70)),25,0)+IF(J70&lt;&gt;"",20,0)+IF(AA70&lt;&gt;"",15,0))/100,2)</x:f>
        <x:v>0.65</x:v>
      </x:c>
      <x:c r="L70" s="30" t="str">
        <x:v>待联系</x:v>
      </x:c>
      <x:c r="M70" s="30" t="str"/>
      <x:c r="N70" s="30" t="str">
        <x:v>Monterey Park, California</x:v>
      </x:c>
      <x:c r="O70" s="30" t="str"/>
      <x:c r="P70" s="30" t="str">
        <x:v>暂无经营范围信息</x:v>
      </x:c>
      <x:c r="Q70" s="32" t="n">
        <x:v>2</x:v>
      </x:c>
      <x:c r="R70" s="32" t="n">
        <x:v>110846</x:v>
      </x:c>
      <x:c r="S70" s="33" t="n">
        <x:v>0</x:v>
      </x:c>
      <x:c r="T70" s="34" t="n">
        <x:v>46021.666666666664</x:v>
      </x:c>
      <x:c r="U70" s="30" t="str">
        <x:v>doc@dhyshippingline.com</x:v>
      </x:c>
      <x:c r="V70" s="30" t="str"/>
      <x:c r="W70" s="30" t="str">
        <x:v>3108183210; 9093649573; 17083332127; +1 310-818-3210</x:v>
      </x:c>
      <x:c r="X70" s="30" t="str"/>
      <x:c r="Y70" s="30" t="str">
        <x:v>3108183210:状态2/类型0/WhatsApp2; 9093649573:状态2/类型0/WhatsApp0; 17083332127:状态2/类型0/WhatsApp2; +1 310-818-3210:状态1/类型3/WhatsApp2</x:v>
      </x:c>
      <x:c r="Z70" s="30" t="str"/>
      <x:c r="AA70" s="30" t="str"/>
      <x:c r="AB70" s="30" t="str"/>
      <x:c r="AC70" s="30" t="str">
        <x:v>doc@dhyshippingline.com:1</x:v>
      </x:c>
      <x:c r="AD70" s="30" t="str"/>
      <x:c r="AE70" s="30" t="str"/>
      <x:c r="AF70" s="30" t="str">
        <x:v>RAIN CAP IN CLEAR KIDS CT COIL TRAVEL CASE PC DENMAN BRUSH BOAR BRISTLE ROUND BRUSH COLO R BLOCK HANDLE PK ASSORTED COLOR HAIR R...; CARTON BOX PVC COVER EPE CORNER PROTECTOR MET AL REFORMER PACKING MATERIAL N/A:NINGBO JOHN INTERNATIONAL INDUSTRIAL CO., LTD CUC...</x:v>
      </x:c>
      <x:c r="AG70" s="30" t="str"/>
      <x:c r="AH70" s="30" t="str"/>
      <x:c r="AI70" s="30" t="str"/>
      <x:c r="AJ70" s="30" t="str">
        <x:v>猪毛刷；PVC护角条</x:v>
      </x:c>
      <x:c r="AK70" s="30" t="str">
        <x:v>expansion-search-boar-bristle-brush-page-01; expansion-search-pvc-corner-protector-page-01</x:v>
      </x:c>
      <x:c r="AL70" s="30" t="str">
        <x:v>UpKuajing customs company contact API</x:v>
      </x:c>
      <x:c r="AM70" s="30" t="str"/>
      <x:c r="AN70" s="30" t="str"/>
      <x:c r="AO70" s="34" t="n">
        <x:v>46220</x:v>
      </x:c>
    </x:row>
    <x:row r="71" ht="44" customHeight="1">
      <x:c r="A71" s="30" t="str">
        <x:v>API联系方式已获取</x:v>
      </x:c>
      <x:c r="B71" s="30" t="str">
        <x:v>高-欧美</x:v>
      </x:c>
      <x:c r="C71" s="30" t="str">
        <x:v>塑料桶</x:v>
      </x:c>
      <x:c r="D71" s="31" t="str">
        <x:v>238463</x:v>
      </x:c>
      <x:c r="E71" s="30" t="str">
        <x:v>dol gen corp llc</x:v>
      </x:c>
      <x:c r="F71" s="30" t="str">
        <x:v>美国</x:v>
      </x:c>
      <x:c r="G71" s="30" t="str">
        <x:v>rdreiling@dollargeneral.com</x:v>
      </x:c>
      <x:c r="H71" s="30" t="str">
        <x:f>IF(ISNUMBER(SEARCH(":1",AC71)),"已验证有效",IF(ISNUMBER(SEARCH(":3",AC71)),"验证不确定",IF(ISNUMBER(SEARCH(":0",AC71)),"接口未能检测",IF(ISNUMBER(SEARCH(":2",AC71)),"判定无效",IF(V71&lt;&gt;"","官网已确认-未验证","无邮箱")))))</x:f>
        <x:v>已验证有效</x:v>
      </x:c>
      <x:c r="I71" s="30" t="str">
        <x:v>+1 615-855-4000</x:v>
      </x:c>
      <x:c r="J71" s="30" t="str">
        <x:v>http://www.dollargeneral.com</x:v>
      </x:c>
      <x:c r="K71" s="35" t="n">
        <x:f>ROUND((IF(H71="已验证有效",40,IF(V71&lt;&gt;"",20,0))+IF(ISNUMBER(SEARCH("状态1",Y71)),25,0)+IF(J71&lt;&gt;"",20,0)+IF(AA71&lt;&gt;"",15,0))/100,2)</x:f>
        <x:v>0.85</x:v>
      </x:c>
      <x:c r="L71" s="30" t="str">
        <x:v>待联系</x:v>
      </x:c>
      <x:c r="M71" s="30" t="str"/>
      <x:c r="N71" s="30" t="str">
        <x:v>100 mission ridge,goodlettsville</x:v>
      </x:c>
      <x:c r="O71" s="30" t="str"/>
      <x:c r="P71" s="30" t="str">
        <x:v>浴室垫，工艺品，浴室，餐垫，外套，铝灯，学生，木，装饰物品，棉质手，手工编织，储物袋，垫子，苹果汁，桌子，脚，节日</x:v>
      </x:c>
      <x:c r="Q71" s="32" t="n">
        <x:v>2</x:v>
      </x:c>
      <x:c r="R71" s="32" t="n">
        <x:v>43026</x:v>
      </x:c>
      <x:c r="S71" s="33" t="n">
        <x:v>0</x:v>
      </x:c>
      <x:c r="T71" s="34" t="n">
        <x:v>46023.666666666664</x:v>
      </x:c>
      <x:c r="U71" s="30" t="str">
        <x:v>rdreiling@dollargeneral.com</x:v>
      </x:c>
      <x:c r="V71" s="30" t="str"/>
      <x:c r="W71" s="30" t="str">
        <x:v>+1 615-855-4000</x:v>
      </x:c>
      <x:c r="X71" s="30" t="str"/>
      <x:c r="Y71" s="30" t="str">
        <x:v>+1 615-855-4000:状态1/类型3/WhatsApp2</x:v>
      </x:c>
      <x:c r="Z71" s="30" t="str"/>
      <x:c r="AA71" s="30" t="str"/>
      <x:c r="AB71" s="30" t="str"/>
      <x:c r="AC71" s="30" t="str">
        <x:v>rdreiling@dollargeneral.com:1</x:v>
      </x:c>
      <x:c r="AD71" s="30" t="str"/>
      <x:c r="AE71" s="30" t="str">
        <x:v>pail；straw；pail plastic；glitter；cod；rv</x:v>
      </x:c>
      <x:c r="AF71" s="30" t="str">
        <x:v>E PAIL PLASTIC IN PO RV / ITEM E PAIL PLASTIC IN PO RVH / ITEM E SQ GLITTER PAIL PO ZM / ITEM S BH TUMB W/STRAW OZ PO ZP / ITEM S BH TUMB W/STRAW OZ HS CODE S/C S NSW&lt;br/&gt;E PAIL PLASTIC IN PO RV / ITEM E PAIL PLASTIC IN PO RVH / ITEM E SQ GLITTER PAIL PO ZM / ITEM S BH TUMB W/STRAW OZ PO ZP / ITEM S BH TUMB W/STRAW OZ HS CODE S/C S NSW&lt;br/&gt;E PAIL PLASTIC IN PO RV / ITEM E PAIL PLASTIC IN PO RVH / ITEM E SQ GLITTER PAIL PO ZM / ITEM S BH TUMB W/STRAW OZ PO ZP / ITEM S BH TUMB W/STRAW OZ HS CODE S/C S NSW&lt;br/&gt;</x:v>
      </x:c>
      <x:c r="AG71" s="30" t="str"/>
      <x:c r="AH71" s="30" t="str"/>
      <x:c r="AI71" s="30" t="str"/>
      <x:c r="AJ71" s="30" t="str">
        <x:v>塑料桶</x:v>
      </x:c>
      <x:c r="AK71" s="30" t="str">
        <x:v>expansion-search-plastic-pail-page-03</x:v>
      </x:c>
      <x:c r="AL71" s="30" t="str">
        <x:v>UpKuajing customs company contact API</x:v>
      </x:c>
      <x:c r="AM71" s="30" t="str"/>
      <x:c r="AN71" s="30" t="str"/>
      <x:c r="AO71" s="34" t="n">
        <x:v>46220</x:v>
      </x:c>
    </x:row>
    <x:row r="72" ht="44" customHeight="1">
      <x:c r="A72" s="30" t="str">
        <x:v>API联系方式已获取</x:v>
      </x:c>
      <x:c r="B72" s="30" t="str">
        <x:v>高-欧美</x:v>
      </x:c>
      <x:c r="C72" s="30" t="str">
        <x:v>塑料桶</x:v>
      </x:c>
      <x:c r="D72" s="31" t="str">
        <x:v>228140</x:v>
      </x:c>
      <x:c r="E72" s="30" t="str">
        <x:v>global trade solutions inc</x:v>
      </x:c>
      <x:c r="F72" s="30" t="str">
        <x:v>美国</x:v>
      </x:c>
      <x:c r="G72" s="30" t="str">
        <x:v>info@globaltradesolutions.us</x:v>
      </x:c>
      <x:c r="H72" s="30" t="str">
        <x:f>IF(ISNUMBER(SEARCH(":1",AC72)),"已验证有效",IF(ISNUMBER(SEARCH(":3",AC72)),"验证不确定",IF(ISNUMBER(SEARCH(":0",AC72)),"接口未能检测",IF(ISNUMBER(SEARCH(":2",AC72)),"判定无效",IF(V72&lt;&gt;"","官网已确认-未验证","无邮箱")))))</x:f>
        <x:v>接口未能检测</x:v>
      </x:c>
      <x:c r="I72" s="30" t="str">
        <x:v>+1 615-382-3981</x:v>
      </x:c>
      <x:c r="J72" s="30" t="str">
        <x:v>www.globaltradesolution.com</x:v>
      </x:c>
      <x:c r="K72" s="35" t="n">
        <x:f>ROUND((IF(H72="已验证有效",40,IF(V72&lt;&gt;"",20,0))+IF(ISNUMBER(SEARCH("状态1",Y72)),25,0)+IF(J72&lt;&gt;"",20,0)+IF(AA72&lt;&gt;"",15,0))/100,2)</x:f>
        <x:v>0.45</x:v>
      </x:c>
      <x:c r="L72" s="30" t="str">
        <x:v>待联系</x:v>
      </x:c>
      <x:c r="M72" s="30" t="str"/>
      <x:c r="N72" s="30" t="str">
        <x:v>1009 nikki drive springfield tn 37172</x:v>
      </x:c>
      <x:c r="O72" s="30" t="str"/>
      <x:c r="P72" s="30" t="str">
        <x:v>电动车，啤酒，充气船，控制台，单位，胸罩，包装材料，套件，手柄，氧气软管，矿石，差速器，活塞环，非医疗，齿轮，铝，活塞，一次性帽，迪亚</x:v>
      </x:c>
      <x:c r="Q72" s="32" t="n">
        <x:v>2</x:v>
      </x:c>
      <x:c r="R72" s="32" t="n">
        <x:v>9890</x:v>
      </x:c>
      <x:c r="S72" s="33" t="n">
        <x:v>0.0002</x:v>
      </x:c>
      <x:c r="T72" s="34" t="n">
        <x:v>46197.666666666664</x:v>
      </x:c>
      <x:c r="U72" s="30" t="str">
        <x:v>info@globaltradesolutions.us; slundgren@gtsimporter.com</x:v>
      </x:c>
      <x:c r="V72" s="30" t="str"/>
      <x:c r="W72" s="30" t="str">
        <x:v>+1 615-382-3981</x:v>
      </x:c>
      <x:c r="X72" s="30" t="str"/>
      <x:c r="Y72" s="30" t="str">
        <x:v>+1 615-382-3981:状态1/类型3/WhatsApp2</x:v>
      </x:c>
      <x:c r="Z72" s="30" t="str"/>
      <x:c r="AA72" s="30" t="str"/>
      <x:c r="AB72" s="30" t="str"/>
      <x:c r="AC72" s="30" t="str">
        <x:v>info@globaltradesolutions.us:0; slundgren@gtsimporter.com:0</x:v>
      </x:c>
      <x:c r="AD72" s="30" t="str"/>
      <x:c r="AE72" s="30" t="str">
        <x:v>lid；round plastic；pail</x:v>
      </x:c>
      <x:c r="AF72" s="30" t="str">
        <x:v>0.5 GAL ROUND PLASTIC PAIL WITH LID 1 GAL ROUND PLASTIC PAIL WITH LID&lt;br/&gt;</x:v>
      </x:c>
      <x:c r="AG72" s="30" t="str"/>
      <x:c r="AH72" s="30" t="str"/>
      <x:c r="AI72" s="30" t="str"/>
      <x:c r="AJ72" s="30" t="str">
        <x:v>塑料桶</x:v>
      </x:c>
      <x:c r="AK72" s="30" t="str">
        <x:v>expansion-search-plastic-pail-page-03</x:v>
      </x:c>
      <x:c r="AL72" s="30" t="str">
        <x:v>UpKuajing customs company contact API</x:v>
      </x:c>
      <x:c r="AM72" s="30" t="str"/>
      <x:c r="AN72" s="30" t="str"/>
      <x:c r="AO72" s="34" t="n">
        <x:v>46220</x:v>
      </x:c>
    </x:row>
    <x:row r="73" ht="44" customHeight="1">
      <x:c r="A73" s="30" t="str">
        <x:v>API联系方式已获取</x:v>
      </x:c>
      <x:c r="B73" s="30" t="str">
        <x:v>高-欧美</x:v>
      </x:c>
      <x:c r="C73" s="30" t="str">
        <x:v>塑料桶</x:v>
      </x:c>
      <x:c r="D73" s="31" t="str">
        <x:v>71424999</x:v>
      </x:c>
      <x:c r="E73" s="30" t="str">
        <x:v>IKEA SUPPLY AG</x:v>
      </x:c>
      <x:c r="F73" s="30" t="str">
        <x:v>美国</x:v>
      </x:c>
      <x:c r="G73" s="30" t="str">
        <x:v>ikea2.usdo@ikea.com</x:v>
      </x:c>
      <x:c r="H73" s="30" t="str">
        <x:f>IF(ISNUMBER(SEARCH(":1",AC73)),"已验证有效",IF(ISNUMBER(SEARCH(":3",AC73)),"验证不确定",IF(ISNUMBER(SEARCH(":0",AC73)),"接口未能检测",IF(ISNUMBER(SEARCH(":2",AC73)),"判定无效",IF(V73&lt;&gt;"","官网已确认-未验证","无邮箱")))))</x:f>
        <x:v>接口未能检测</x:v>
      </x:c>
      <x:c r="I73" s="30" t="str">
        <x:v>+1 484-803-9015</x:v>
      </x:c>
      <x:c r="J73" s="30" t="str"/>
      <x:c r="K73" s="35" t="n">
        <x:f>ROUND((IF(H73="已验证有效",40,IF(V73&lt;&gt;"",20,0))+IF(ISNUMBER(SEARCH("状态1",Y73)),25,0)+IF(J73&lt;&gt;"",20,0)+IF(AA73&lt;&gt;"",15,0))/100,2)</x:f>
        <x:v>0.25</x:v>
      </x:c>
      <x:c r="L73" s="30" t="str">
        <x:v>待联系</x:v>
      </x:c>
      <x:c r="M73" s="30" t="str"/>
      <x:c r="N73" s="30" t="str">
        <x:v>Lebec, California</x:v>
      </x:c>
      <x:c r="O73" s="30" t="str"/>
      <x:c r="P73" s="30" t="str">
        <x:v>暂无经营范围信息</x:v>
      </x:c>
      <x:c r="Q73" s="32" t="n">
        <x:v>2</x:v>
      </x:c>
      <x:c r="R73" s="32" t="n">
        <x:v>830540</x:v>
      </x:c>
      <x:c r="S73" s="33" t="n">
        <x:v>0</x:v>
      </x:c>
      <x:c r="T73" s="34" t="n">
        <x:v>46111.666666666664</x:v>
      </x:c>
      <x:c r="U73" s="30" t="str">
        <x:v>ikea2.usdo@ikea.com; ikea2.usdo@inter.ikea; ikea2.usdo@inter.ikea.com</x:v>
      </x:c>
      <x:c r="V73" s="30" t="str"/>
      <x:c r="W73" s="30" t="str">
        <x:v>09110100624; 14106426280; +1 484-803-9015; 16092611208; 16108340180; 16618580345; 4106426280; 4848039015; 9129661490</x:v>
      </x:c>
      <x:c r="X73" s="30" t="str"/>
      <x:c r="Y73" s="30" t="str">
        <x:v>09110100624:状态2/类型0/WhatsApp0; 14106426280:状态2/类型0/WhatsApp2; +1 484-803-9015:状态1/类型3/WhatsApp2; 16092611208:状态2/类型0/WhatsApp2; 16108340180:状态2/类型0/WhatsApp2; 16618580345:状态2/类型0/WhatsApp2; 4106426280:状态2/类型0/WhatsApp0; 4848039015:状态2/类型0/WhatsApp0; 9129661490:状态2/类型0/WhatsApp2</x:v>
      </x:c>
      <x:c r="Z73" s="30" t="str"/>
      <x:c r="AA73" s="30" t="str"/>
      <x:c r="AB73" s="30" t="str"/>
      <x:c r="AC73" s="30" t="str">
        <x:v>ikea2.usdo@ikea.com:0; ikea2.usdo@inter.ikea:0; ikea2.usdo@inter.ikea.com:0</x:v>
      </x:c>
      <x:c r="AD73" s="30" t="str"/>
      <x:c r="AE73" s="30" t="str"/>
      <x:c r="AF73" s="30" t="str">
        <x:v>IKEA HOME FURNISHINGPRODUCTS,NOJIG BOX XX NOJIG BOX XX PLASTIC/BEIGE PEPPRIG BUCKET SET W LID SGREY/BLUE LILLNAGGEN SQUEEGEE VES...</x:v>
      </x:c>
      <x:c r="AG73" s="30" t="str"/>
      <x:c r="AH73" s="30" t="str"/>
      <x:c r="AI73" s="30" t="str"/>
      <x:c r="AJ73" s="30" t="str">
        <x:v>塑料桶</x:v>
      </x:c>
      <x:c r="AK73" s="30" t="str">
        <x:v>expansion-search-plastic-bucket-page-02</x:v>
      </x:c>
      <x:c r="AL73" s="30" t="str">
        <x:v>UpKuajing customs company contact API</x:v>
      </x:c>
      <x:c r="AM73" s="30" t="str"/>
      <x:c r="AN73" s="30" t="str"/>
      <x:c r="AO73" s="34" t="n">
        <x:v>46220</x:v>
      </x:c>
    </x:row>
    <x:row r="74" ht="44" customHeight="1">
      <x:c r="A74" s="30" t="str">
        <x:v>API联系方式已获取</x:v>
      </x:c>
      <x:c r="B74" s="30" t="str">
        <x:v>高-欧美</x:v>
      </x:c>
      <x:c r="C74" s="30" t="str">
        <x:v>塑料桶</x:v>
      </x:c>
      <x:c r="D74" s="31" t="str">
        <x:v>71431137</x:v>
      </x:c>
      <x:c r="E74" s="30" t="str">
        <x:v>JINTONG TRANSPORTATION INC</x:v>
      </x:c>
      <x:c r="F74" s="30" t="str">
        <x:v>美国</x:v>
      </x:c>
      <x:c r="G74" s="30" t="str">
        <x:v>fay@jintong-us.com</x:v>
      </x:c>
      <x:c r="H74" s="30" t="str">
        <x:f>IF(ISNUMBER(SEARCH(":1",AC74)),"已验证有效",IF(ISNUMBER(SEARCH(":3",AC74)),"验证不确定",IF(ISNUMBER(SEARCH(":0",AC74)),"接口未能检测",IF(ISNUMBER(SEARCH(":2",AC74)),"判定无效",IF(V74&lt;&gt;"","官网已确认-未验证","无邮箱")))))</x:f>
        <x:v>已验证有效</x:v>
      </x:c>
      <x:c r="I74" s="30" t="str">
        <x:v>+1 855-454-4831</x:v>
      </x:c>
      <x:c r="J74" s="30" t="str"/>
      <x:c r="K74" s="35" t="n">
        <x:f>ROUND((IF(H74="已验证有效",40,IF(V74&lt;&gt;"",20,0))+IF(ISNUMBER(SEARCH("状态1",Y74)),25,0)+IF(J74&lt;&gt;"",20,0)+IF(AA74&lt;&gt;"",15,0))/100,2)</x:f>
        <x:v>0.65</x:v>
      </x:c>
      <x:c r="L74" s="30" t="str">
        <x:v>待联系</x:v>
      </x:c>
      <x:c r="M74" s="30" t="str"/>
      <x:c r="N74" s="30" t="str">
        <x:v>El Monte, California</x:v>
      </x:c>
      <x:c r="O74" s="30" t="str"/>
      <x:c r="P74" s="30" t="str">
        <x:v>暂无经营范围信息</x:v>
      </x:c>
      <x:c r="Q74" s="32" t="n">
        <x:v>2</x:v>
      </x:c>
      <x:c r="R74" s="32" t="n">
        <x:v>4283</x:v>
      </x:c>
      <x:c r="S74" s="33" t="n">
        <x:v>0.0005</x:v>
      </x:c>
      <x:c r="T74" s="34" t="n">
        <x:v>46086.666666666664</x:v>
      </x:c>
      <x:c r="U74" s="30" t="str">
        <x:v>fay@jintong-us.com; usdocs@jintong-us.com</x:v>
      </x:c>
      <x:c r="V74" s="30" t="str"/>
      <x:c r="W74" s="30" t="str">
        <x:v>+1 855-454-4831; 8554544831</x:v>
      </x:c>
      <x:c r="X74" s="30" t="str"/>
      <x:c r="Y74" s="30" t="str">
        <x:v>+1 855-454-4831:状态1/类型3/WhatsApp0; 8554544831:状态2/类型0/WhatsApp0</x:v>
      </x:c>
      <x:c r="Z74" s="30" t="str"/>
      <x:c r="AA74" s="30" t="str"/>
      <x:c r="AB74" s="30" t="str"/>
      <x:c r="AC74" s="30" t="str">
        <x:v>fay@jintong-us.com:1; usdocs@jintong-us.com:1</x:v>
      </x:c>
      <x:c r="AD74" s="30" t="str"/>
      <x:c r="AE74" s="30" t="str"/>
      <x:c r="AF74" s="30" t="str">
        <x:v>PLASTIC BUCKET PLASTIC BUCKET HS CODE PLASTIC CUP HS CODE THIS SHIPMENT CONTAIN NO SOLID WOODEN PACKAGE. @ TEL - FAX -</x:v>
      </x:c>
      <x:c r="AG74" s="30" t="str"/>
      <x:c r="AH74" s="30" t="str"/>
      <x:c r="AI74" s="30" t="str"/>
      <x:c r="AJ74" s="30" t="str">
        <x:v>塑料桶</x:v>
      </x:c>
      <x:c r="AK74" s="30" t="str">
        <x:v>expansion-search-plastic-bucket-page-02</x:v>
      </x:c>
      <x:c r="AL74" s="30" t="str">
        <x:v>UpKuajing customs company contact API</x:v>
      </x:c>
      <x:c r="AM74" s="30" t="str"/>
      <x:c r="AN74" s="30" t="str"/>
      <x:c r="AO74" s="34" t="n">
        <x:v>46220</x:v>
      </x:c>
    </x:row>
    <x:row r="75" ht="44" customHeight="1">
      <x:c r="A75" s="30" t="str">
        <x:v>API联系方式已获取</x:v>
      </x:c>
      <x:c r="B75" s="30" t="str">
        <x:v>高-欧美</x:v>
      </x:c>
      <x:c r="C75" s="30" t="str">
        <x:v>塑料桶</x:v>
      </x:c>
      <x:c r="D75" s="31" t="str">
        <x:v>71440806</x:v>
      </x:c>
      <x:c r="E75" s="30" t="str">
        <x:v>LONG SHINE INTERNATIONAL TRADE INC</x:v>
      </x:c>
      <x:c r="F75" s="30" t="str">
        <x:v>美国</x:v>
      </x:c>
      <x:c r="G75" s="30" t="str">
        <x:v>dlx3@donglixin-zj.com</x:v>
      </x:c>
      <x:c r="H75" s="30" t="str">
        <x:f>IF(ISNUMBER(SEARCH(":1",AC75)),"已验证有效",IF(ISNUMBER(SEARCH(":3",AC75)),"验证不确定",IF(ISNUMBER(SEARCH(":0",AC75)),"接口未能检测",IF(ISNUMBER(SEARCH(":2",AC75)),"判定无效",IF(V75&lt;&gt;"","官网已确认-未验证","无邮箱")))))</x:f>
        <x:v>已验证有效</x:v>
      </x:c>
      <x:c r="I75" s="30" t="str"/>
      <x:c r="J75" s="30" t="str"/>
      <x:c r="K75" s="35" t="n">
        <x:f>ROUND((IF(H75="已验证有效",40,IF(V75&lt;&gt;"",20,0))+IF(ISNUMBER(SEARCH("状态1",Y75)),25,0)+IF(J75&lt;&gt;"",20,0)+IF(AA75&lt;&gt;"",15,0))/100,2)</x:f>
        <x:v>0.4</x:v>
      </x:c>
      <x:c r="L75" s="30" t="str">
        <x:v>待联系</x:v>
      </x:c>
      <x:c r="M75" s="30" t="str"/>
      <x:c r="N75" s="30" t="str">
        <x:v>Howard, Washington</x:v>
      </x:c>
      <x:c r="O75" s="30" t="str"/>
      <x:c r="P75" s="30" t="str">
        <x:v>暂无经营范围信息</x:v>
      </x:c>
      <x:c r="Q75" s="32" t="n">
        <x:v>2</x:v>
      </x:c>
      <x:c r="R75" s="32" t="n">
        <x:v>3058</x:v>
      </x:c>
      <x:c r="S75" s="33" t="n">
        <x:v>0.0007000000000000001</x:v>
      </x:c>
      <x:c r="T75" s="34" t="n">
        <x:v>46057.666666666664</x:v>
      </x:c>
      <x:c r="U75" s="30" t="str">
        <x:v>dlx3@donglixin-zj.com; dlximport@donglixin-zj.com</x:v>
      </x:c>
      <x:c r="V75" s="30" t="str"/>
      <x:c r="W75" s="30" t="str"/>
      <x:c r="X75" s="30" t="str"/>
      <x:c r="Y75" s="30" t="str"/>
      <x:c r="Z75" s="30" t="str"/>
      <x:c r="AA75" s="30" t="str"/>
      <x:c r="AB75" s="30" t="str"/>
      <x:c r="AC75" s="30" t="str">
        <x:v>dlx3@donglixin-zj.com:1; dlximport@donglixin-zj.com:1</x:v>
      </x:c>
      <x:c r="AD75" s="30" t="str"/>
      <x:c r="AE75" s="30" t="str"/>
      <x:c r="AF75" s="30" t="str">
        <x:v>PLASTIC STORAGE BOX PLASTIC STORAGE BUCKET CONTACT - THIS SHIPMENT CONTAINS NO SOLID WOOD PACKING MATERIALS FREIGHT PREPAID CBP: -</x:v>
      </x:c>
      <x:c r="AG75" s="30" t="str"/>
      <x:c r="AH75" s="30" t="str"/>
      <x:c r="AI75" s="30" t="str"/>
      <x:c r="AJ75" s="30" t="str">
        <x:v>塑料桶</x:v>
      </x:c>
      <x:c r="AK75" s="30" t="str">
        <x:v>expansion-search-plastic-bucket-page-03</x:v>
      </x:c>
      <x:c r="AL75" s="30" t="str">
        <x:v>UpKuajing customs company contact API</x:v>
      </x:c>
      <x:c r="AM75" s="30" t="str"/>
      <x:c r="AN75" s="30" t="str"/>
      <x:c r="AO75" s="34" t="n">
        <x:v>46220</x:v>
      </x:c>
    </x:row>
    <x:row r="76" ht="44" customHeight="1">
      <x:c r="A76" s="30" t="str">
        <x:v>API联系方式已获取</x:v>
      </x:c>
      <x:c r="B76" s="30" t="str">
        <x:v>高-欧美</x:v>
      </x:c>
      <x:c r="C76" s="30" t="str">
        <x:v>塑料桶</x:v>
      </x:c>
      <x:c r="D76" s="31" t="str">
        <x:v>212312</x:v>
      </x:c>
      <x:c r="E76" s="30" t="str">
        <x:v>nii takaya usa inc</x:v>
      </x:c>
      <x:c r="F76" s="30" t="str">
        <x:v>美国</x:v>
      </x:c>
      <x:c r="G76" s="30" t="str">
        <x:v>sales1@niitakaya.com</x:v>
      </x:c>
      <x:c r="H76" s="30" t="str">
        <x:f>IF(ISNUMBER(SEARCH(":1",AC76)),"已验证有效",IF(ISNUMBER(SEARCH(":3",AC76)),"验证不确定",IF(ISNUMBER(SEARCH(":0",AC76)),"接口未能检测",IF(ISNUMBER(SEARCH(":2",AC76)),"判定无效",IF(V76&lt;&gt;"","官网已确认-未验证","无邮箱")))))</x:f>
        <x:v>已验证有效</x:v>
      </x:c>
      <x:c r="I76" s="30" t="str">
        <x:v>+1 323-720-5050</x:v>
      </x:c>
      <x:c r="J76" s="30" t="str">
        <x:v>http://niitakaya.com</x:v>
      </x:c>
      <x:c r="K76" s="35" t="n">
        <x:f>ROUND((IF(H76="已验证有效",40,IF(V76&lt;&gt;"",20,0))+IF(ISNUMBER(SEARCH("状态1",Y76)),25,0)+IF(J76&lt;&gt;"",20,0)+IF(AA76&lt;&gt;"",15,0))/100,2)</x:f>
        <x:v>1</x:v>
      </x:c>
      <x:c r="L76" s="30" t="str">
        <x:v>待联系</x:v>
      </x:c>
      <x:c r="M76" s="30" t="str"/>
      <x:c r="N76" s="30" t="str">
        <x:v>address: 1801 gage rd montebello, ca , 90640-6505</x:v>
      </x:c>
      <x:c r="O76" s="30" t="str"/>
      <x:c r="P76" s="30" t="str">
        <x:v>大蒜、竹笋、木材、芥末粉、红马、、垫子、发光二极管、分页机、海、鳕鱼、离子、、冰、盐、、泡菜、植物、天空、包装材料</x:v>
      </x:c>
      <x:c r="Q76" s="32" t="n">
        <x:v>2</x:v>
      </x:c>
      <x:c r="R76" s="32" t="n">
        <x:v>2008</x:v>
      </x:c>
      <x:c r="S76" s="33" t="n">
        <x:v>0.001</x:v>
      </x:c>
      <x:c r="T76" s="34" t="n">
        <x:v>45622.666666666664</x:v>
      </x:c>
      <x:c r="U76" s="30" t="str">
        <x:v>sales1@niitakaya.com</x:v>
      </x:c>
      <x:c r="V76" s="30" t="str"/>
      <x:c r="W76" s="30" t="str">
        <x:v>+1 323-720-5050; 3237205050</x:v>
      </x:c>
      <x:c r="X76" s="30" t="str"/>
      <x:c r="Y76" s="30" t="str">
        <x:v>+1 323-720-5050:状态1/类型3/WhatsApp2; 3237205050:状态2/类型0/WhatsApp2</x:v>
      </x:c>
      <x:c r="Z76" s="30" t="str"/>
      <x:c r="AA76" s="30" t="str">
        <x:v>https://www.facebook.com/niitakaya; https://www.instagram.com/niitakaya.usa/?hl=en</x:v>
      </x:c>
      <x:c r="AB76" s="30" t="str"/>
      <x:c r="AC76" s="30" t="str">
        <x:v>sales1@niitakaya.com:1</x:v>
      </x:c>
      <x:c r="AD76" s="30" t="str">
        <x:v>塑料桶</x:v>
      </x:c>
      <x:c r="AE76" s="30" t="str">
        <x:v>塑料；Bucket</x:v>
      </x:c>
      <x:c r="AF76" s="30" t="str">
        <x:v>EMPTY PLASTIC BUCKET</x:v>
      </x:c>
      <x:c r="AG76" s="30" t="str">
        <x:v>塑料桶；Plastic Container；Plastic Tub；Plastic Bin；Plastic Drum</x:v>
      </x:c>
      <x:c r="AH76" s="30" t="str">
        <x:v>塑料树脂；聚乙烯；Polypropylene；添加剂；Colorants</x:v>
      </x:c>
      <x:c r="AI76" s="30" t="str">
        <x:v>Food Storage；Chemical Storage；Paint Storage；Water Storage；Tool Storage</x:v>
      </x:c>
      <x:c r="AJ76" s="30" t="str">
        <x:v>塑料桶</x:v>
      </x:c>
      <x:c r="AK76" s="30" t="str">
        <x:v>expansion-search-plastic-pail-page-02</x:v>
      </x:c>
      <x:c r="AL76" s="30" t="str">
        <x:v>UpKuajing customs company contact API</x:v>
      </x:c>
      <x:c r="AM76" s="30" t="str"/>
      <x:c r="AN76" s="30" t="str"/>
      <x:c r="AO76" s="34" t="n">
        <x:v>46220</x:v>
      </x:c>
    </x:row>
    <x:row r="77" ht="44" customHeight="1">
      <x:c r="A77" s="30" t="str">
        <x:v>API联系方式已获取</x:v>
      </x:c>
      <x:c r="B77" s="30" t="str">
        <x:v>高-欧美</x:v>
      </x:c>
      <x:c r="C77" s="30" t="str">
        <x:v>刷子</x:v>
      </x:c>
      <x:c r="D77" s="31" t="str">
        <x:v>20450491</x:v>
      </x:c>
      <x:c r="E77" s="30" t="str">
        <x:v>PRYM CONSUMER USA INC</x:v>
      </x:c>
      <x:c r="F77" s="30" t="str">
        <x:v>美国</x:v>
      </x:c>
      <x:c r="G77" s="30" t="str">
        <x:v>customer.service@prym-consumer-usa.com</x:v>
      </x:c>
      <x:c r="H77" s="30" t="str">
        <x:f>IF(ISNUMBER(SEARCH(":1",AC77)),"已验证有效",IF(ISNUMBER(SEARCH(":3",AC77)),"验证不确定",IF(ISNUMBER(SEARCH(":0",AC77)),"接口未能检测",IF(ISNUMBER(SEARCH(":2",AC77)),"判定无效",IF(V77&lt;&gt;"","官网已确认-未验证","无邮箱")))))</x:f>
        <x:v>判定无效</x:v>
      </x:c>
      <x:c r="I77" s="30" t="str">
        <x:v>+1 864-576-5050</x:v>
      </x:c>
      <x:c r="J77" s="30" t="str">
        <x:v>http://www.prym-consumer-usa.com/</x:v>
      </x:c>
      <x:c r="K77" s="35" t="n">
        <x:f>ROUND((IF(H77="已验证有效",40,IF(V77&lt;&gt;"",20,0))+IF(ISNUMBER(SEARCH("状态1",Y77)),25,0)+IF(J77&lt;&gt;"",20,0)+IF(AA77&lt;&gt;"",15,0))/100,2)</x:f>
        <x:v>0.45</x:v>
      </x:c>
      <x:c r="L77" s="30" t="str">
        <x:v>待联系</x:v>
      </x:c>
      <x:c r="M77" s="30" t="str"/>
      <x:c r="N77" s="30" t="str">
        <x:v>950 brisack road spartanburg, sc 29303</x:v>
      </x:c>
      <x:c r="O77" s="30" t="str"/>
      <x:c r="P77" s="30" t="str">
        <x:v>白色电缆，金属加仑，玻璃笛，无纺布，缝纫部分，传统，快乐带，针缝，皮革艺术，带扣，织物按扣，钢，套件，阿伦，织物，自动铅笔，丝绸</x:v>
      </x:c>
      <x:c r="Q77" s="32" t="n">
        <x:v>2</x:v>
      </x:c>
      <x:c r="R77" s="32" t="n">
        <x:v>2259</x:v>
      </x:c>
      <x:c r="S77" s="33" t="n">
        <x:v>0.0009</x:v>
      </x:c>
      <x:c r="T77" s="34" t="n">
        <x:v>45724.666666666664</x:v>
      </x:c>
      <x:c r="U77" s="30" t="str">
        <x:v>customer.service@prym-consumer-usa.com</x:v>
      </x:c>
      <x:c r="V77" s="30" t="str"/>
      <x:c r="W77" s="30" t="str">
        <x:v>+1 864-576-5050</x:v>
      </x:c>
      <x:c r="X77" s="30" t="str"/>
      <x:c r="Y77" s="30" t="str">
        <x:v>+1 864-576-5050:状态1/类型3/WhatsApp2</x:v>
      </x:c>
      <x:c r="Z77" s="30" t="str"/>
      <x:c r="AA77" s="30" t="str"/>
      <x:c r="AB77" s="30" t="str"/>
      <x:c r="AC77" s="30" t="str">
        <x:v>customer.service@prym-consumer-usa.com:2</x:v>
      </x:c>
      <x:c r="AD77" s="30" t="str">
        <x:v>胶粘带；Bobbin；Brass Pins；刷子；Button Fastener；Ceramic Tomato；Clasp；Hooks；Cloth Label；Clothes Line；Elastic；Glue Stick；Hand Tool；Marking Pen；Non-Woven Tape；Paper Article；Pencil Leads；Plastic Article；Plastic Box；Poly Boning；Press Cloth；Sewing Machine</x:v>
      </x:c>
      <x:c r="AE77" s="30" t="str">
        <x:v>胶粘剂；Bobbin；Brass；刷子；Button；Ceramic；Clasp；Hooks；Cloth；Elastic；Glue；Hand；Marking；Non-Woven；纸；Pencil；塑料；Poly；Press；Sewing</x:v>
      </x:c>
      <x:c r="AF77" s="30" t="str">
        <x:v>ADHESIVE TAPE BOBBIN BRASS PINS BRUSH BUTTONFASTENER CERAMIC TOMATO CLASP HOOKS CLOTH LABEL CLOTHES LINE ELASTIC GLUE STICK HAND TOOL MARKING PEN NON-WOVEN TAPE PAPER ARTICLE PENCIL LEADS PLASTIC ARTICLE PLASTIC BOX POLY BONING PRESS CLOTH SEWING MC B...</x:v>
      </x:c>
      <x:c r="AG77" s="30" t="str">
        <x:v>Sticky Tape；Spool；Metal Pins；Bristle Brush；Snap Fastener</x:v>
      </x:c>
      <x:c r="AH77" s="30" t="str">
        <x:v>Brass Alloy；Ceramic Material；Textile Fiber；塑料树脂；Paper Pulp</x:v>
      </x:c>
      <x:c r="AI77" s="30" t="str">
        <x:v>Craft Products；Garment Manufacturing；Office Supplies；Home Decor；Sewing Projects</x:v>
      </x:c>
      <x:c r="AJ77" s="30" t="str">
        <x:v>刷子</x:v>
      </x:c>
      <x:c r="AK77" s="30" t="str">
        <x:v>expansion-search-brush-page-07</x:v>
      </x:c>
      <x:c r="AL77" s="30" t="str">
        <x:v>UpKuajing customs company contact API</x:v>
      </x:c>
      <x:c r="AM77" s="30" t="str"/>
      <x:c r="AN77" s="30" t="str"/>
      <x:c r="AO77" s="34" t="n">
        <x:v>46220</x:v>
      </x:c>
    </x:row>
    <x:row r="78" ht="44" customHeight="1">
      <x:c r="A78" s="30" t="str">
        <x:v>API联系方式已获取</x:v>
      </x:c>
      <x:c r="B78" s="30" t="str">
        <x:v>高-欧美</x:v>
      </x:c>
      <x:c r="C78" s="30" t="str">
        <x:v>刷子</x:v>
      </x:c>
      <x:c r="D78" s="31" t="str">
        <x:v>20447468</x:v>
      </x:c>
      <x:c r="E78" s="30" t="str">
        <x:v>SERVICE TOOL CO LLC</x:v>
      </x:c>
      <x:c r="F78" s="30" t="str">
        <x:v>美国</x:v>
      </x:c>
      <x:c r="G78" s="30" t="str">
        <x:v>email@servicetoolco.com</x:v>
      </x:c>
      <x:c r="H78" s="30" t="str">
        <x:f>IF(ISNUMBER(SEARCH(":1",AC78)),"已验证有效",IF(ISNUMBER(SEARCH(":3",AC78)),"验证不确定",IF(ISNUMBER(SEARCH(":0",AC78)),"接口未能检测",IF(ISNUMBER(SEARCH(":2",AC78)),"判定无效",IF(V78&lt;&gt;"","官网已确认-未验证","无邮箱")))))</x:f>
        <x:v>接口未能检测</x:v>
      </x:c>
      <x:c r="I78" s="30" t="str">
        <x:v>+1 337-369-7126</x:v>
      </x:c>
      <x:c r="J78" s="30" t="str">
        <x:v>www.servicetoolco.com</x:v>
      </x:c>
      <x:c r="K78" s="35" t="n">
        <x:f>ROUND((IF(H78="已验证有效",40,IF(V78&lt;&gt;"",20,0))+IF(ISNUMBER(SEARCH("状态1",Y78)),25,0)+IF(J78&lt;&gt;"",20,0)+IF(AA78&lt;&gt;"",15,0))/100,2)</x:f>
        <x:v>0.45</x:v>
      </x:c>
      <x:c r="L78" s="30" t="str">
        <x:v>待联系</x:v>
      </x:c>
      <x:c r="M78" s="30" t="str"/>
      <x:c r="N78" s="30" t="str">
        <x:v>2501 S LEWIS ST</x:v>
      </x:c>
      <x:c r="O78" s="30" t="str"/>
      <x:c r="P78" s="30" t="str">
        <x:v>手动工具特价箱展示、脉冲桌展示、迷彩展示、四个价格点、盒子展示、小刀展示、眼镜展示、货物系紧展示、夹条展示、挂钩展示、眼镜展示、鱼缸展示、特价桶树和其他目录项目</x:v>
      </x:c>
      <x:c r="Q78" s="32" t="n">
        <x:v>2</x:v>
      </x:c>
      <x:c r="R78" s="32" t="n">
        <x:v>76</x:v>
      </x:c>
      <x:c r="S78" s="33" t="n">
        <x:v>0.0263</x:v>
      </x:c>
      <x:c r="T78" s="34" t="n">
        <x:v>45599.666666666664</x:v>
      </x:c>
      <x:c r="U78" s="30" t="str">
        <x:v>email@servicetoolco.com; resume@servicetoolco.com</x:v>
      </x:c>
      <x:c r="V78" s="30" t="str"/>
      <x:c r="W78" s="30" t="str">
        <x:v>+1 337-369-7126; 3373651704</x:v>
      </x:c>
      <x:c r="X78" s="30" t="str"/>
      <x:c r="Y78" s="30" t="str">
        <x:v>+1 337-369-7126:状态1/类型3/WhatsApp2; 3373651704:状态2/类型0/WhatsApp2</x:v>
      </x:c>
      <x:c r="Z78" s="30" t="str"/>
      <x:c r="AA78" s="30" t="str"/>
      <x:c r="AB78" s="30" t="str"/>
      <x:c r="AC78" s="30" t="str">
        <x:v>email@servicetoolco.com:0; resume@servicetoolco.com:0</x:v>
      </x:c>
      <x:c r="AD78" s="30" t="str">
        <x:v>Wire Brush</x:v>
      </x:c>
      <x:c r="AE78" s="30" t="str">
        <x:v>Wire；刷子</x:v>
      </x:c>
      <x:c r="AF78" s="30" t="str">
        <x:v>WIRE BRUSH</x:v>
      </x:c>
      <x:c r="AG78" s="30" t="str">
        <x:v>Wire Broom；Steel Wire Brush；Metal Wire Brush；Scrubbing Brush；Cleaning Brush</x:v>
      </x:c>
      <x:c r="AH78" s="30" t="str">
        <x:v>Wire；金属；Brush Bristles；Handle Material；Fasteners</x:v>
      </x:c>
      <x:c r="AI78" s="30" t="str">
        <x:v>Automotive Maintenance；Home Cleaning；Industrial Cleaning；Metalworking；Woodworking</x:v>
      </x:c>
      <x:c r="AJ78" s="30" t="str">
        <x:v>刷子</x:v>
      </x:c>
      <x:c r="AK78" s="30" t="str">
        <x:v>expansion-search-brush-page-07</x:v>
      </x:c>
      <x:c r="AL78" s="30" t="str">
        <x:v>UpKuajing customs company contact API</x:v>
      </x:c>
      <x:c r="AM78" s="30" t="str"/>
      <x:c r="AN78" s="30" t="str"/>
      <x:c r="AO78" s="34" t="n">
        <x:v>46220</x:v>
      </x:c>
    </x:row>
    <x:row r="79" ht="44" customHeight="1">
      <x:c r="A79" s="30" t="str">
        <x:v>API联系方式已获取</x:v>
      </x:c>
      <x:c r="B79" s="30" t="str">
        <x:v>高-欧美</x:v>
      </x:c>
      <x:c r="C79" s="30" t="str">
        <x:v>塑料桶</x:v>
      </x:c>
      <x:c r="D79" s="31" t="str">
        <x:v>221836</x:v>
      </x:c>
      <x:c r="E79" s="30" t="str">
        <x:v>the tranzonic co</x:v>
      </x:c>
      <x:c r="F79" s="30" t="str">
        <x:v>美国</x:v>
      </x:c>
      <x:c r="G79" s="30" t="str">
        <x:v>bmagyaros@tranzonic.com</x:v>
      </x:c>
      <x:c r="H79" s="30" t="str">
        <x:f>IF(ISNUMBER(SEARCH(":1",AC79)),"已验证有效",IF(ISNUMBER(SEARCH(":3",AC79)),"验证不确定",IF(ISNUMBER(SEARCH(":0",AC79)),"接口未能检测",IF(ISNUMBER(SEARCH(":2",AC79)),"判定无效",IF(V79&lt;&gt;"","官网已确认-未验证","无邮箱")))))</x:f>
        <x:v>已验证有效</x:v>
      </x:c>
      <x:c r="I79" s="30" t="str"/>
      <x:c r="J79" s="30" t="str">
        <x:v>http://www.tranzonic.com</x:v>
      </x:c>
      <x:c r="K79" s="35" t="n">
        <x:f>ROUND((IF(H79="已验证有效",40,IF(V79&lt;&gt;"",20,0))+IF(ISNUMBER(SEARCH("状态1",Y79)),25,0)+IF(J79&lt;&gt;"",20,0)+IF(AA79&lt;&gt;"",15,0))/100,2)</x:f>
        <x:v>0.6</x:v>
      </x:c>
      <x:c r="L79" s="30" t="str">
        <x:v>待联系</x:v>
      </x:c>
      <x:c r="M79" s="30" t="str"/>
      <x:c r="N79" s="30" t="str">
        <x:v>2530 westcott blvd，knoxville</x:v>
      </x:c>
      <x:c r="O79" s="30" t="str"/>
      <x:c r="P79" s="30" t="str">
        <x:v>启动器，31，蓝色，送货，拖把，拖把杆，大框架，木质，牛皮纸内衬，14，品牌，纸袋，超细纤维清洁垫，木质，鳕鱼，离子，一件，马拉，铝，杆</x:v>
      </x:c>
      <x:c r="Q79" s="32" t="n">
        <x:v>2</x:v>
      </x:c>
      <x:c r="R79" s="32" t="n">
        <x:v>6399</x:v>
      </x:c>
      <x:c r="S79" s="33" t="n">
        <x:v>0.0003</x:v>
      </x:c>
      <x:c r="T79" s="34" t="n">
        <x:v>45562.666666666664</x:v>
      </x:c>
      <x:c r="U79" s="30" t="str">
        <x:v>bmagyaros@tranzonic.com</x:v>
      </x:c>
      <x:c r="V79" s="30" t="str"/>
      <x:c r="W79" s="30" t="str"/>
      <x:c r="X79" s="30" t="str"/>
      <x:c r="Y79" s="30" t="str"/>
      <x:c r="Z79" s="30" t="str"/>
      <x:c r="AA79" s="30" t="str"/>
      <x:c r="AB79" s="30" t="str"/>
      <x:c r="AC79" s="30" t="str">
        <x:v>bmagyaros@tranzonic.com:1</x:v>
      </x:c>
      <x:c r="AD79" s="30" t="str">
        <x:v>塑料桶</x:v>
      </x:c>
      <x:c r="AE79" s="30" t="str">
        <x:v>塑料；Bucket</x:v>
      </x:c>
      <x:c r="AF79" s="30" t="str">
        <x:v>PLASTIC BUCKET PO 251479</x:v>
      </x:c>
      <x:c r="AG79" s="30" t="str">
        <x:v>塑料桶；Plastic can；Plastic tub；Plastic bin；Plastic container</x:v>
      </x:c>
      <x:c r="AH79" s="30" t="str">
        <x:v>塑料树脂；Petrochemicals；聚合物；添加剂；Plastic raw materials</x:v>
      </x:c>
      <x:c r="AI79" s="30" t="str">
        <x:v>Home storage；Industrial storage；Agricultural use；Construction use；Food storage</x:v>
      </x:c>
      <x:c r="AJ79" s="30" t="str">
        <x:v>塑料桶</x:v>
      </x:c>
      <x:c r="AK79" s="30" t="str">
        <x:v>expansion-search-plastic-pail-page-02</x:v>
      </x:c>
      <x:c r="AL79" s="30" t="str">
        <x:v>UpKuajing customs company contact API</x:v>
      </x:c>
      <x:c r="AM79" s="30" t="str"/>
      <x:c r="AN79" s="30" t="str"/>
      <x:c r="AO79" s="34" t="n">
        <x:v>46220</x:v>
      </x:c>
    </x:row>
    <x:row r="80" ht="44" customHeight="1">
      <x:c r="A80" s="30" t="str">
        <x:v>API联系方式已获取</x:v>
      </x:c>
      <x:c r="B80" s="30" t="str">
        <x:v>高-欧美</x:v>
      </x:c>
      <x:c r="C80" s="30" t="str">
        <x:v>塑料桶</x:v>
      </x:c>
      <x:c r="D80" s="31" t="str">
        <x:v>224858</x:v>
      </x:c>
      <x:c r="E80" s="30" t="str">
        <x:v>tractor supply co</x:v>
      </x:c>
      <x:c r="F80" s="30" t="str">
        <x:v>美国</x:v>
      </x:c>
      <x:c r="G80" s="30" t="str">
        <x:v>customersolutions@tractorsupply.com</x:v>
      </x:c>
      <x:c r="H80" s="30" t="str">
        <x:f>IF(ISNUMBER(SEARCH(":1",AC80)),"已验证有效",IF(ISNUMBER(SEARCH(":3",AC80)),"验证不确定",IF(ISNUMBER(SEARCH(":0",AC80)),"接口未能检测",IF(ISNUMBER(SEARCH(":2",AC80)),"判定无效",IF(V80&lt;&gt;"","官网已确认-未验证","无邮箱")))))</x:f>
        <x:v>接口未能检测</x:v>
      </x:c>
      <x:c r="I80" s="30" t="str">
        <x:v>+1 615-440-4000</x:v>
      </x:c>
      <x:c r="J80" s="30" t="str">
        <x:v>http://www.tractorsupply.com/</x:v>
      </x:c>
      <x:c r="K80" s="35" t="n">
        <x:f>ROUND((IF(H80="已验证有效",40,IF(V80&lt;&gt;"",20,0))+IF(ISNUMBER(SEARCH("状态1",Y80)),25,0)+IF(J80&lt;&gt;"",20,0)+IF(AA80&lt;&gt;"",15,0))/100,2)</x:f>
        <x:v>0.45</x:v>
      </x:c>
      <x:c r="L80" s="30" t="str">
        <x:v>待联系</x:v>
      </x:c>
      <x:c r="M80" s="30" t="str"/>
      <x:c r="N80" s="30" t="str">
        <x:v>5401 virginia way brentwood, tn 37027</x:v>
      </x:c>
      <x:c r="O80" s="30" t="str"/>
      <x:c r="P80" s="30" t="str">
        <x:v>狩猎百叶窗，三水，酶，彩色玻璃，挂钩组，罐，座垫，顶宠，5，折叠车，68，密封，聚光灯，平台车，家禽</x:v>
      </x:c>
      <x:c r="Q80" s="32" t="n">
        <x:v>2</x:v>
      </x:c>
      <x:c r="R80" s="32" t="n">
        <x:v>111751</x:v>
      </x:c>
      <x:c r="S80" s="33" t="n">
        <x:v>0</x:v>
      </x:c>
      <x:c r="T80" s="34" t="n">
        <x:v>45779.666666666664</x:v>
      </x:c>
      <x:c r="U80" s="30" t="str">
        <x:v>customersolutions@tractorsupply.com</x:v>
      </x:c>
      <x:c r="V80" s="30" t="str"/>
      <x:c r="W80" s="30" t="str">
        <x:v>+1 615-440-4000; +1 877-718-6750</x:v>
      </x:c>
      <x:c r="X80" s="30" t="str"/>
      <x:c r="Y80" s="30" t="str">
        <x:v>+1 615-440-4000:状态1/类型3/WhatsApp2; +1 877-718-6750:状态1/类型3/WhatsApp2</x:v>
      </x:c>
      <x:c r="Z80" s="30" t="str"/>
      <x:c r="AA80" s="30" t="str"/>
      <x:c r="AB80" s="30" t="str"/>
      <x:c r="AC80" s="30" t="str">
        <x:v>customersolutions@tractorsupply.com:0</x:v>
      </x:c>
      <x:c r="AD80" s="30" t="str">
        <x:v>塑料桶</x:v>
      </x:c>
      <x:c r="AE80" s="30" t="str">
        <x:v>塑料；Bucket</x:v>
      </x:c>
      <x:c r="AF80" s="30" t="str">
        <x:v>PLASTIC BUCKET PO#1039122041 THIS SHIPMENT CONTAINS NO WOOD PACKING MATERIALS ALL MOTOR +++ALSO NOYIFY: EXPEDITORS INTERNATIONAL OF WASHINGTON, INC. 26 CENTURY BLVD, STE 702 NASHVILLE TN 27214 USA ATTN: GRANT HUDSON PH: 629-232-0662&lt;br/&gt;</x:v>
      </x:c>
      <x:c r="AG80" s="30" t="str">
        <x:v>塑料桶；Plastic container；Plastic tub；Plastic can；Plastic bin</x:v>
      </x:c>
      <x:c r="AH80" s="30" t="str">
        <x:v>塑料树脂；Petrochemicals；添加剂；Plasticizers；Colorants</x:v>
      </x:c>
      <x:c r="AI80" s="30" t="str">
        <x:v>Home storage；Industrial storage；Agricultural use；Construction use；Food storage</x:v>
      </x:c>
      <x:c r="AJ80" s="30" t="str">
        <x:v>塑料桶</x:v>
      </x:c>
      <x:c r="AK80" s="30" t="str">
        <x:v>expansion-search-plastic-pail-page-02; expansion-search-plastic-pail-page-03</x:v>
      </x:c>
      <x:c r="AL80" s="30" t="str">
        <x:v>UpKuajing customs company contact API</x:v>
      </x:c>
      <x:c r="AM80" s="30" t="str"/>
      <x:c r="AN80" s="30" t="str"/>
      <x:c r="AO80" s="34" t="n">
        <x:v>46220</x:v>
      </x:c>
    </x:row>
    <x:row r="81" ht="44" customHeight="1">
      <x:c r="A81" s="30" t="str">
        <x:v>API联系方式已获取</x:v>
      </x:c>
      <x:c r="B81" s="30" t="str">
        <x:v>高-欧美</x:v>
      </x:c>
      <x:c r="C81" s="30" t="str">
        <x:v>塑料桶</x:v>
      </x:c>
      <x:c r="D81" s="31" t="str">
        <x:v>212265</x:v>
      </x:c>
      <x:c r="E81" s="30" t="str">
        <x:v>velendo inc.</x:v>
      </x:c>
      <x:c r="F81" s="30" t="str">
        <x:v>美国</x:v>
      </x:c>
      <x:c r="G81" s="30" t="str">
        <x:v>info@velendo.com</x:v>
      </x:c>
      <x:c r="H81" s="30" t="str">
        <x:f>IF(ISNUMBER(SEARCH(":1",AC81)),"已验证有效",IF(ISNUMBER(SEARCH(":3",AC81)),"验证不确定",IF(ISNUMBER(SEARCH(":0",AC81)),"接口未能检测",IF(ISNUMBER(SEARCH(":2",AC81)),"判定无效",IF(V81&lt;&gt;"","官网已确认-未验证","无邮箱")))))</x:f>
        <x:v>已验证有效</x:v>
      </x:c>
      <x:c r="I81" s="30" t="str">
        <x:v>+1 503-286-7638</x:v>
      </x:c>
      <x:c r="J81" s="30" t="str">
        <x:v>www.velendo.com</x:v>
      </x:c>
      <x:c r="K81" s="35" t="n">
        <x:f>ROUND((IF(H81="已验证有效",40,IF(V81&lt;&gt;"",20,0))+IF(ISNUMBER(SEARCH("状态1",Y81)),25,0)+IF(J81&lt;&gt;"",20,0)+IF(AA81&lt;&gt;"",15,0))/100,2)</x:f>
        <x:v>0.85</x:v>
      </x:c>
      <x:c r="L81" s="30" t="str">
        <x:v>待联系</x:v>
      </x:c>
      <x:c r="M81" s="30" t="str"/>
      <x:c r="N81" s="30" t="str">
        <x:v>7820 n. leadbetter rd. portland, oregon 97203 united states</x:v>
      </x:c>
      <x:c r="O81" s="30" t="str"/>
      <x:c r="P81" s="30" t="str">
        <x:v>顶部打印，蓝色，宠物预成型件，24，鳕鱼，离子，树脂，手臂，颜色，颗粒，23，手柄，再生宠物，颈部，宠物瓶，盖子</x:v>
      </x:c>
      <x:c r="Q81" s="32" t="n">
        <x:v>2</x:v>
      </x:c>
      <x:c r="R81" s="32" t="n">
        <x:v>703</x:v>
      </x:c>
      <x:c r="S81" s="33" t="n">
        <x:v>0.0028000000000000004</x:v>
      </x:c>
      <x:c r="T81" s="34" t="n">
        <x:v>45728.666666666664</x:v>
      </x:c>
      <x:c r="U81" s="30" t="str">
        <x:v>info@velendo.com</x:v>
      </x:c>
      <x:c r="V81" s="30" t="str"/>
      <x:c r="W81" s="30" t="str">
        <x:v>+1 503-286-7638</x:v>
      </x:c>
      <x:c r="X81" s="30" t="str"/>
      <x:c r="Y81" s="30" t="str">
        <x:v>+1 503-286-7638:状态1/类型3/WhatsApp2</x:v>
      </x:c>
      <x:c r="Z81" s="30" t="str"/>
      <x:c r="AA81" s="30" t="str"/>
      <x:c r="AB81" s="30" t="str"/>
      <x:c r="AC81" s="30" t="str">
        <x:v>info@velendo.com:1</x:v>
      </x:c>
      <x:c r="AD81" s="30" t="str">
        <x:v>塑料桶</x:v>
      </x:c>
      <x:c r="AE81" s="30" t="str">
        <x:v>塑料；Bucket；Blue</x:v>
      </x:c>
      <x:c r="AF81" s="30" t="str">
        <x:v>Quai nhựa 5L NS màu xanh, 940 cái/thùng, không nhãn hiệu, có nhãn hàng hóa, mới 100%#&amp;VN</x:v>
      </x:c>
      <x:c r="AG81" s="30" t="str">
        <x:v>塑料桶；Plastic can；Plastic tub；Plastic container；Plastic vessel</x:v>
      </x:c>
      <x:c r="AH81" s="30" t="str">
        <x:v>塑料树脂；聚合物；添加剂；着色剂；增塑剂</x:v>
      </x:c>
      <x:c r="AI81" s="30" t="str">
        <x:v>Food storage；Chemical storage；Paint storage；Water storage；Agricultural use</x:v>
      </x:c>
      <x:c r="AJ81" s="30" t="str">
        <x:v>塑料桶</x:v>
      </x:c>
      <x:c r="AK81" s="30" t="str">
        <x:v>expansion-search-plastic-pail-page-02</x:v>
      </x:c>
      <x:c r="AL81" s="30" t="str">
        <x:v>UpKuajing customs company contact API</x:v>
      </x:c>
      <x:c r="AM81" s="30" t="str"/>
      <x:c r="AN81" s="30" t="str"/>
      <x:c r="AO81" s="34" t="n">
        <x:v>46220</x:v>
      </x:c>
    </x:row>
    <x:row r="82" ht="44" customHeight="1">
      <x:c r="A82" s="30" t="str">
        <x:v>API联系方式已获取</x:v>
      </x:c>
      <x:c r="B82" s="30" t="str">
        <x:v>高-欧美</x:v>
      </x:c>
      <x:c r="C82" s="30" t="str">
        <x:v>刷子</x:v>
      </x:c>
      <x:c r="D82" s="31" t="str">
        <x:v>20450639</x:v>
      </x:c>
      <x:c r="E82" s="30" t="str">
        <x:v>AFA INDUSTRIES INC</x:v>
      </x:c>
      <x:c r="F82" s="30" t="str">
        <x:v>美国</x:v>
      </x:c>
      <x:c r="G82" s="30" t="str">
        <x:v>sales@afaindustries.com</x:v>
      </x:c>
      <x:c r="H82" s="30" t="str">
        <x:f>IF(ISNUMBER(SEARCH(":1",AC82)),"已验证有效",IF(ISNUMBER(SEARCH(":3",AC82)),"验证不确定",IF(ISNUMBER(SEARCH(":0",AC82)),"接口未能检测",IF(ISNUMBER(SEARCH(":2",AC82)),"判定无效",IF(V82&lt;&gt;"","官网已确认-未验证","无邮箱")))))</x:f>
        <x:v>已验证有效</x:v>
      </x:c>
      <x:c r="I82" s="30" t="str">
        <x:v>+1 586-752-2900</x:v>
      </x:c>
      <x:c r="J82" s="30" t="str">
        <x:v>www.afaindustries.com</x:v>
      </x:c>
      <x:c r="K82" s="35" t="n">
        <x:f>ROUND((IF(H82="已验证有效",40,IF(V82&lt;&gt;"",20,0))+IF(ISNUMBER(SEARCH("状态1",Y82)),25,0)+IF(J82&lt;&gt;"",20,0)+IF(AA82&lt;&gt;"",15,0))/100,2)</x:f>
        <x:v>1</x:v>
      </x:c>
      <x:c r="L82" s="30" t="str">
        <x:v>待联系</x:v>
      </x:c>
      <x:c r="M82" s="30" t="str"/>
      <x:c r="N82" s="30" t="str">
        <x:v>140 E POND DR</x:v>
      </x:c>
      <x:c r="O82" s="30" t="str"/>
      <x:c r="P82" s="30" t="str">
        <x:v>暂无经营范围信息</x:v>
      </x:c>
      <x:c r="Q82" s="32" t="n">
        <x:v>1</x:v>
      </x:c>
      <x:c r="R82" s="32" t="n">
        <x:v>776</x:v>
      </x:c>
      <x:c r="S82" s="33" t="n">
        <x:v>0.0013</x:v>
      </x:c>
      <x:c r="T82" s="34" t="n">
        <x:v>45517.666666666664</x:v>
      </x:c>
      <x:c r="U82" s="30" t="str">
        <x:v>sales@afaindustries.com</x:v>
      </x:c>
      <x:c r="V82" s="30" t="str"/>
      <x:c r="W82" s="30" t="str">
        <x:v>+1 586-752-2900</x:v>
      </x:c>
      <x:c r="X82" s="30" t="str"/>
      <x:c r="Y82" s="30" t="str">
        <x:v>+1 586-752-2900:状态1/类型3/WhatsApp2</x:v>
      </x:c>
      <x:c r="Z82" s="30" t="str"/>
      <x:c r="AA82" s="30" t="str">
        <x:v>https://www.facebook.com/AFAIndustriesInc; https://www.instagram.com/afaindustries; https://www.linkedin.com/company/afa-industries-inc-; https://twitter.com/afaindustries</x:v>
      </x:c>
      <x:c r="AB82" s="30" t="str"/>
      <x:c r="AC82" s="30" t="str">
        <x:v>sales@afaindustries.com:1</x:v>
      </x:c>
      <x:c r="AD82" s="30" t="str"/>
      <x:c r="AE82" s="30" t="str"/>
      <x:c r="AF82" s="30" t="str">
        <x:v>USED PERSONAL EFFECTS(SHOES BAG CLOTHES AN BRAKE PAD NUTS PLASTICS COATED FABRICS ENGINE BEARING PCW BRUSH MACHINE MODIFIED SODIUM BICARBONATE BOOKS BEAUTY OR MAKEUP PREPARATIONS PP ADDITIVE MASTER BATCH OTHER DECORATIVE ORNAMENTS</x:v>
      </x:c>
      <x:c r="AG82" s="30" t="str"/>
      <x:c r="AH82" s="30" t="str"/>
      <x:c r="AI82" s="30" t="str"/>
      <x:c r="AJ82" s="30" t="str">
        <x:v>刷子</x:v>
      </x:c>
      <x:c r="AK82" s="30" t="str">
        <x:v>expansion-search-brush-page-07</x:v>
      </x:c>
      <x:c r="AL82" s="30" t="str">
        <x:v>UpKuajing customs company contact API</x:v>
      </x:c>
      <x:c r="AM82" s="30" t="str"/>
      <x:c r="AN82" s="30" t="str"/>
      <x:c r="AO82" s="34" t="n">
        <x:v>46220</x:v>
      </x:c>
    </x:row>
    <x:row r="83" ht="44" customHeight="1">
      <x:c r="A83" s="30" t="str">
        <x:v>API联系方式已获取</x:v>
      </x:c>
      <x:c r="B83" s="30" t="str">
        <x:v>高-欧美</x:v>
      </x:c>
      <x:c r="C83" s="30" t="str">
        <x:v>塑料桶</x:v>
      </x:c>
      <x:c r="D83" s="31" t="str">
        <x:v>253569</x:v>
      </x:c>
      <x:c r="E83" s="30" t="str">
        <x:v>all categories inc.</x:v>
      </x:c>
      <x:c r="F83" s="30" t="str">
        <x:v>美国</x:v>
      </x:c>
      <x:c r="G83" s="30" t="str">
        <x:v>tbrown@dft-valves.com</x:v>
      </x:c>
      <x:c r="H83" s="30" t="str">
        <x:f>IF(ISNUMBER(SEARCH(":1",AC83)),"已验证有效",IF(ISNUMBER(SEARCH(":3",AC83)),"验证不确定",IF(ISNUMBER(SEARCH(":0",AC83)),"接口未能检测",IF(ISNUMBER(SEARCH(":2",AC83)),"判定无效",IF(V83&lt;&gt;"","官网已确认-未验证","无邮箱")))))</x:f>
        <x:v>接口未能检测</x:v>
      </x:c>
      <x:c r="I83" s="30" t="str">
        <x:v>+1 787-732-3300</x:v>
      </x:c>
      <x:c r="J83" s="30" t="str">
        <x:v>www.dft-valves.com</x:v>
      </x:c>
      <x:c r="K83" s="35" t="n">
        <x:f>ROUND((IF(H83="已验证有效",40,IF(V83&lt;&gt;"",20,0))+IF(ISNUMBER(SEARCH("状态1",Y83)),25,0)+IF(J83&lt;&gt;"",20,0)+IF(AA83&lt;&gt;"",15,0))/100,2)</x:f>
        <x:v>0.45</x:v>
      </x:c>
      <x:c r="L83" s="30" t="str">
        <x:v>待联系</x:v>
      </x:c>
      <x:c r="M83" s="30" t="str"/>
      <x:c r="N83" s="30" t="str">
        <x:v>amelia st no 46 amelia industrial park guaynabo pr 00968 puerto rico</x:v>
      </x:c>
      <x:c r="O83" s="30" t="str"/>
      <x:c r="P83" s="30" t="str">
        <x:v>相信，填缝枪，割草线，吊床，啤酒，滚筒油漆刷，杆，安全眼镜，计数，4件，孔锯套件，壁架，绘画，电缆夹，刀，艾琳，喷水器，个人防护用品</x:v>
      </x:c>
      <x:c r="Q83" s="32" t="n">
        <x:v>1</x:v>
      </x:c>
      <x:c r="R83" s="32" t="n">
        <x:v>566</x:v>
      </x:c>
      <x:c r="S83" s="33" t="n">
        <x:v>0.0018</x:v>
      </x:c>
      <x:c r="T83" s="34" t="n">
        <x:v>45853.666666666664</x:v>
      </x:c>
      <x:c r="U83" s="30" t="str">
        <x:v>tbrown@dft-valves.com</x:v>
      </x:c>
      <x:c r="V83" s="30" t="str"/>
      <x:c r="W83" s="30" t="str">
        <x:v>+1 787-732-3300</x:v>
      </x:c>
      <x:c r="X83" s="30" t="str"/>
      <x:c r="Y83" s="30" t="str">
        <x:v>+1 787-732-3300:状态1/类型3/WhatsApp2</x:v>
      </x:c>
      <x:c r="Z83" s="30" t="str"/>
      <x:c r="AA83" s="30" t="str"/>
      <x:c r="AB83" s="30" t="str"/>
      <x:c r="AC83" s="30" t="str">
        <x:v>tbrown@dft-valves.com:0</x:v>
      </x:c>
      <x:c r="AD83" s="30" t="str">
        <x:v>Coatings；Plastic brush for garden；塑料桶</x:v>
      </x:c>
      <x:c r="AE83" s="30" t="str">
        <x:v>Coatings；塑料；刷子；Bucket；Garden</x:v>
      </x:c>
      <x:c r="AF83" s="30" t="str">
        <x:v>COATINGS 01X40HC CONTAINER CONTAINING 2770 PACKAGES 2710 CARDBOARD BOXES AND 60 PLASTIC COATINGS 27.000 UN - BANDEJA FLEX P/PINTURA - 23CM - 36X28CM 720 UN - ESCOBA PLASTICA PARA JARDIN - 22 DIENTES 1.200 UN - BALDE PLASTICO 14 LITROS C/SOPORTE P/MOPA MANUAL INVOICE 25/2025 DUE 25BR000936876-9 NCM 39269090 HS CODE 392690 FREIGHT PREPAID WOODEN PACKAGE NOT APPLICABLE (NOT USED) XXXCENTRO SANTA CRUZ DO SUL RIO GRANDE DO SUL 96810 034 BRAZIL&lt;br/&gt;</x:v>
      </x:c>
      <x:c r="AG83" s="30" t="str">
        <x:v>Paint；Plastic broom；塑料桶；Coating materials；Garden brush</x:v>
      </x:c>
      <x:c r="AH83" s="30" t="str">
        <x:v>塑料树脂；颜料；溶剂；添加剂；Fibers</x:v>
      </x:c>
      <x:c r="AI83" s="30" t="str">
        <x:v>Building construction；Automotive industry；Gardening；Household cleaning；Industrial maintenance</x:v>
      </x:c>
      <x:c r="AJ83" s="30" t="str">
        <x:v>塑料桶</x:v>
      </x:c>
      <x:c r="AK83" s="30" t="str">
        <x:v>expansion-search-plastic-pail-page-03</x:v>
      </x:c>
      <x:c r="AL83" s="30" t="str">
        <x:v>UpKuajing customs company contact API</x:v>
      </x:c>
      <x:c r="AM83" s="30" t="str"/>
      <x:c r="AN83" s="30" t="str"/>
      <x:c r="AO83" s="34" t="n">
        <x:v>46220</x:v>
      </x:c>
    </x:row>
    <x:row r="84" ht="44" customHeight="1">
      <x:c r="A84" s="30" t="str">
        <x:v>API联系方式已获取</x:v>
      </x:c>
      <x:c r="B84" s="30" t="str">
        <x:v>高-欧美</x:v>
      </x:c>
      <x:c r="C84" s="30" t="str">
        <x:v>油漆刷</x:v>
      </x:c>
      <x:c r="D84" s="31" t="str">
        <x:v>20380651</x:v>
      </x:c>
      <x:c r="E84" s="30" t="str">
        <x:v>AMEKOR INDUSTRIES INC</x:v>
      </x:c>
      <x:c r="F84" s="30" t="str">
        <x:v>美国</x:v>
      </x:c>
      <x:c r="G84" s="30" t="str">
        <x:v>support@vivicafoxhair.com</x:v>
      </x:c>
      <x:c r="H84" s="30" t="str">
        <x:f>IF(ISNUMBER(SEARCH(":1",AC84)),"已验证有效",IF(ISNUMBER(SEARCH(":3",AC84)),"验证不确定",IF(ISNUMBER(SEARCH(":0",AC84)),"接口未能检测",IF(ISNUMBER(SEARCH(":2",AC84)),"判定无效",IF(V84&lt;&gt;"","官网已确认-未验证","无邮箱")))))</x:f>
        <x:v>已验证有效</x:v>
      </x:c>
      <x:c r="I84" s="30" t="str">
        <x:v>+1 610-825-6747</x:v>
      </x:c>
      <x:c r="J84" s="30" t="str">
        <x:v>www.vivicafoxhair.com</x:v>
      </x:c>
      <x:c r="K84" s="35" t="n">
        <x:f>ROUND((IF(H84="已验证有效",40,IF(V84&lt;&gt;"",20,0))+IF(ISNUMBER(SEARCH("状态1",Y84)),25,0)+IF(J84&lt;&gt;"",20,0)+IF(AA84&lt;&gt;"",15,0))/100,2)</x:f>
        <x:v>1</x:v>
      </x:c>
      <x:c r="L84" s="30" t="str">
        <x:v>待联系</x:v>
      </x:c>
      <x:c r="M84" s="30" t="str"/>
      <x:c r="N84" s="30" t="str">
        <x:v>1810 RITTENHOUSE SQ , APT 508</x:v>
      </x:c>
      <x:c r="O84" s="30" t="str"/>
      <x:c r="P84" s="30" t="str">
        <x:v>暂无经营范围信息</x:v>
      </x:c>
      <x:c r="Q84" s="32" t="n">
        <x:v>1</x:v>
      </x:c>
      <x:c r="R84" s="32" t="n">
        <x:v>1827</x:v>
      </x:c>
      <x:c r="S84" s="33" t="n">
        <x:v>0.0005</x:v>
      </x:c>
      <x:c r="T84" s="34" t="n">
        <x:v>45533.666666666664</x:v>
      </x:c>
      <x:c r="U84" s="30" t="str">
        <x:v>support@vivicafoxhair.com</x:v>
      </x:c>
      <x:c r="V84" s="30" t="str"/>
      <x:c r="W84" s="30" t="str">
        <x:v>+1 610-825-6747</x:v>
      </x:c>
      <x:c r="X84" s="30" t="str"/>
      <x:c r="Y84" s="30" t="str">
        <x:v>+1 610-825-6747:状态1/类型3/WhatsApp2</x:v>
      </x:c>
      <x:c r="Z84" s="30" t="str"/>
      <x:c r="AA84" s="30" t="str">
        <x:v>https://www.facebook.com/VFHair; https://www.instagram.com/p/CfbkX-ouRh5; https://www.instagram.com/reel/CzENFmSOFjT; https://www.youtube.com/user/VFHair</x:v>
      </x:c>
      <x:c r="AB84" s="30" t="str"/>
      <x:c r="AC84" s="30" t="str">
        <x:v>support@vivicafoxhair.com:1</x:v>
      </x:c>
      <x:c r="AD84" s="30" t="str">
        <x:v>油漆刷</x:v>
      </x:c>
      <x:c r="AE84" s="30" t="str">
        <x:v>油漆刷；Synthetic hair</x:v>
      </x:c>
      <x:c r="AF84" s="30" t="str">
        <x:v>PAINT BRUSHES SYNTHETIC HAIR GOODS</x:v>
      </x:c>
      <x:c r="AG84" s="30" t="str">
        <x:v>Paint roller；Paint applicator；Brush for painting；油漆刷；Decorative brush</x:v>
      </x:c>
      <x:c r="AH84" s="30" t="str">
        <x:v>Synthetic fiber；塑料；Wood；金属；胶粘剂</x:v>
      </x:c>
      <x:c r="AI84" s="30" t="str">
        <x:v>Home decoration；Art painting；Industrial painting；Automobile painting；Furniture painting</x:v>
      </x:c>
      <x:c r="AJ84" s="30" t="str">
        <x:v>油漆刷</x:v>
      </x:c>
      <x:c r="AK84" s="30" t="str">
        <x:v>expansion-search-paint-brush-page-03</x:v>
      </x:c>
      <x:c r="AL84" s="30" t="str">
        <x:v>UpKuajing customs company contact API</x:v>
      </x:c>
      <x:c r="AM84" s="30" t="str"/>
      <x:c r="AN84" s="30" t="str"/>
      <x:c r="AO84" s="34" t="n">
        <x:v>46220</x:v>
      </x:c>
    </x:row>
    <x:row r="85" ht="44" customHeight="1">
      <x:c r="A85" s="30" t="str">
        <x:v>API联系方式已获取</x:v>
      </x:c>
      <x:c r="B85" s="30" t="str">
        <x:v>高-欧美</x:v>
      </x:c>
      <x:c r="C85" s="30" t="str">
        <x:v>刷子</x:v>
      </x:c>
      <x:c r="D85" s="31" t="str">
        <x:v>20450428</x:v>
      </x:c>
      <x:c r="E85" s="30" t="str">
        <x:v>AMERICAN WOODMARK CORP</x:v>
      </x:c>
      <x:c r="F85" s="30" t="str">
        <x:v>美国</x:v>
      </x:c>
      <x:c r="G85" s="30" t="str">
        <x:v>service@woodmark.com</x:v>
      </x:c>
      <x:c r="H85" s="30" t="str">
        <x:f>IF(ISNUMBER(SEARCH(":1",AC85)),"已验证有效",IF(ISNUMBER(SEARCH(":3",AC85)),"验证不确定",IF(ISNUMBER(SEARCH(":0",AC85)),"接口未能检测",IF(ISNUMBER(SEARCH(":2",AC85)),"判定无效",IF(V85&lt;&gt;"","官网已确认-未验证","无邮箱")))))</x:f>
        <x:v>接口未能检测</x:v>
      </x:c>
      <x:c r="I85" s="30" t="str">
        <x:v>+1 540-665-9100</x:v>
      </x:c>
      <x:c r="J85" s="30" t="str">
        <x:v>www.americanwoodmark.com</x:v>
      </x:c>
      <x:c r="K85" s="35" t="n">
        <x:f>ROUND((IF(H85="已验证有效",40,IF(V85&lt;&gt;"",20,0))+IF(ISNUMBER(SEARCH("状态1",Y85)),25,0)+IF(J85&lt;&gt;"",20,0)+IF(AA85&lt;&gt;"",15,0))/100,2)</x:f>
        <x:v>0.6</x:v>
      </x:c>
      <x:c r="L85" s="30" t="str">
        <x:v>待联系</x:v>
      </x:c>
      <x:c r="M85" s="30" t="str"/>
      <x:c r="N85" s="30" t="str">
        <x:v>561, SHADY ELM ROAD</x:v>
      </x:c>
      <x:c r="O85" s="30" t="str"/>
      <x:c r="P85" s="30" t="str">
        <x:v>一系列厨房和浴室柜</x:v>
      </x:c>
      <x:c r="Q85" s="32" t="n">
        <x:v>1</x:v>
      </x:c>
      <x:c r="R85" s="32" t="n">
        <x:v>2262</x:v>
      </x:c>
      <x:c r="S85" s="33" t="n">
        <x:v>0.0004</x:v>
      </x:c>
      <x:c r="T85" s="34" t="n">
        <x:v>45697.666666666664</x:v>
      </x:c>
      <x:c r="U85" s="30" t="str">
        <x:v>service@woodmark.com</x:v>
      </x:c>
      <x:c r="V85" s="30" t="str"/>
      <x:c r="W85" s="30" t="str">
        <x:v>+1 540-665-9100</x:v>
      </x:c>
      <x:c r="X85" s="30" t="str"/>
      <x:c r="Y85" s="30" t="str">
        <x:v>+1 540-665-9100:状态1/类型3/WhatsApp2</x:v>
      </x:c>
      <x:c r="Z85" s="30" t="str"/>
      <x:c r="AA85" s="30" t="str">
        <x:v>https://www.facebook.com/AmericanWoodmark; https://www.instagram.com/americanwoodmark; https://www.linkedin.com/company/american-woodmark</x:v>
      </x:c>
      <x:c r="AB85" s="30" t="str"/>
      <x:c r="AC85" s="30" t="str">
        <x:v>service@woodmark.com:0</x:v>
      </x:c>
      <x:c r="AD85" s="30" t="str">
        <x:v>Rotational Brush Sanding Machine</x:v>
      </x:c>
      <x:c r="AE85" s="30" t="str">
        <x:v>Grind；Sand；Machine；Wood；Cork；Bone</x:v>
      </x:c>
      <x:c r="AF85" s="30" t="str">
        <x:v>GRIND SAND ETC MACH FOR WORK WOOD CORK BONE E= 1 MASCHINE 1X PD-DI-DB-1300V ROTATIONAL BRUSH SANDING MACHINE MACHINE NO.1589.04.24 HS CODE 84659300 SHIPPED ON BOARD FREIGHT PREPAID EXPRESS BILL OF LADING </x:v>
      </x:c>
      <x:c r="AG85" s="30" t="str">
        <x:v>Rotary Brush Sander；Brush Sanding Equipment；Rotational Sanding Apparatus；Brush Grinding Machine；Rotary Sanding Machine</x:v>
      </x:c>
      <x:c r="AH85" s="30" t="str">
        <x:v>金属；塑料；Electrical Components；Motor；Bearings</x:v>
      </x:c>
      <x:c r="AI85" s="30" t="str">
        <x:v>家具制造；Woodworking Industry；Cork Product Production；Bone Crafting；Musical Instrument Making</x:v>
      </x:c>
      <x:c r="AJ85" s="30" t="str">
        <x:v>刷子</x:v>
      </x:c>
      <x:c r="AK85" s="30" t="str">
        <x:v>expansion-search-brush-page-07</x:v>
      </x:c>
      <x:c r="AL85" s="30" t="str">
        <x:v>UpKuajing customs company contact API</x:v>
      </x:c>
      <x:c r="AM85" s="30" t="str"/>
      <x:c r="AN85" s="30" t="str"/>
      <x:c r="AO85" s="34" t="n">
        <x:v>46220</x:v>
      </x:c>
    </x:row>
    <x:row r="86" ht="44" customHeight="1">
      <x:c r="A86" s="30" t="str">
        <x:v>API联系方式已获取</x:v>
      </x:c>
      <x:c r="B86" s="30" t="str">
        <x:v>高-欧美</x:v>
      </x:c>
      <x:c r="C86" s="30" t="str">
        <x:v>羊毛刷</x:v>
      </x:c>
      <x:c r="D86" s="31" t="str">
        <x:v>478300</x:v>
      </x:c>
      <x:c r="E86" s="30" t="str">
        <x:v>applicator international llc</x:v>
      </x:c>
      <x:c r="F86" s="30" t="str">
        <x:v>美国</x:v>
      </x:c>
      <x:c r="G86" s="30" t="str">
        <x:v>applicatorint@msn.com</x:v>
      </x:c>
      <x:c r="H86" s="30" t="str">
        <x:f>IF(ISNUMBER(SEARCH(":1",AC86)),"已验证有效",IF(ISNUMBER(SEARCH(":3",AC86)),"验证不确定",IF(ISNUMBER(SEARCH(":0",AC86)),"接口未能检测",IF(ISNUMBER(SEARCH(":2",AC86)),"判定无效",IF(V86&lt;&gt;"","官网已确认-未验证","无邮箱")))))</x:f>
        <x:v>已验证有效</x:v>
      </x:c>
      <x:c r="I86" s="30" t="str">
        <x:v>+1 570-223-6828</x:v>
      </x:c>
      <x:c r="J86" s="30" t="str">
        <x:v>http://www.applicatorinternational.com</x:v>
      </x:c>
      <x:c r="K86" s="35" t="n">
        <x:f>ROUND((IF(H86="已验证有效",40,IF(V86&lt;&gt;"",20,0))+IF(ISNUMBER(SEARCH("状态1",Y86)),25,0)+IF(J86&lt;&gt;"",20,0)+IF(AA86&lt;&gt;"",15,0))/100,2)</x:f>
        <x:v>0.85</x:v>
      </x:c>
      <x:c r="L86" s="30" t="str">
        <x:v>待联系</x:v>
      </x:c>
      <x:c r="M86" s="30" t="str"/>
      <x:c r="N86" s="30" t="str">
        <x:v>235 big ridge ests, east stroudsburg, pennsylvannia, united states</x:v>
      </x:c>
      <x:c r="O86" s="30" t="str"/>
      <x:c r="P86" s="30" t="str">
        <x:v>10，15，涂抹刷，帽涂抹，喷嘴，刷子，帽，14，5，刷子，10，帽，羊毛涂抹器，管刷，管，棉签，510，7，140，发光二极管帽</x:v>
      </x:c>
      <x:c r="Q86" s="32" t="n">
        <x:v>1</x:v>
      </x:c>
      <x:c r="R86" s="32" t="n">
        <x:v>560</x:v>
      </x:c>
      <x:c r="S86" s="33" t="n">
        <x:v>0.0018</x:v>
      </x:c>
      <x:c r="T86" s="34" t="n">
        <x:v>46040.666666666664</x:v>
      </x:c>
      <x:c r="U86" s="30" t="str">
        <x:v>applicatorint@msn.com</x:v>
      </x:c>
      <x:c r="V86" s="30" t="str"/>
      <x:c r="W86" s="30" t="str">
        <x:v>+1 570-223-6828</x:v>
      </x:c>
      <x:c r="X86" s="30" t="str"/>
      <x:c r="Y86" s="30" t="str">
        <x:v>+1 570-223-6828:状态1/类型3/WhatsApp2</x:v>
      </x:c>
      <x:c r="Z86" s="30" t="str"/>
      <x:c r="AA86" s="30" t="str"/>
      <x:c r="AB86" s="30" t="str"/>
      <x:c r="AC86" s="30" t="str">
        <x:v>applicatorint@msn.com:1</x:v>
      </x:c>
      <x:c r="AD86" s="30" t="str"/>
      <x:c r="AE86" s="30" t="str">
        <x:v>wool dauber；刷子；scap</x:v>
      </x:c>
      <x:c r="AF86" s="30" t="str">
        <x:v>WOOL DAUBERSCAP AND BRUSH CTNS PLTS&lt;br/&gt;</x:v>
      </x:c>
      <x:c r="AG86" s="30" t="str"/>
      <x:c r="AH86" s="30" t="str"/>
      <x:c r="AI86" s="30" t="str"/>
      <x:c r="AJ86" s="30" t="str">
        <x:v>羊毛刷</x:v>
      </x:c>
      <x:c r="AK86" s="30" t="str">
        <x:v>expansion-search-wool-brush-page-02</x:v>
      </x:c>
      <x:c r="AL86" s="30" t="str">
        <x:v>UpKuajing customs company contact API</x:v>
      </x:c>
      <x:c r="AM86" s="30" t="str"/>
      <x:c r="AN86" s="30" t="str"/>
      <x:c r="AO86" s="34" t="n">
        <x:v>46220</x:v>
      </x:c>
    </x:row>
    <x:row r="87" ht="44" customHeight="1">
      <x:c r="A87" s="30" t="str">
        <x:v>API联系方式已获取</x:v>
      </x:c>
      <x:c r="B87" s="30" t="str">
        <x:v>高-欧美</x:v>
      </x:c>
      <x:c r="C87" s="30" t="str">
        <x:v>羊毛刷</x:v>
      </x:c>
      <x:c r="D87" s="31" t="str">
        <x:v>71375060</x:v>
      </x:c>
      <x:c r="E87" s="30" t="str">
        <x:v>ASF GLOBAL, LLC</x:v>
      </x:c>
      <x:c r="F87" s="30" t="str">
        <x:v>美国</x:v>
      </x:c>
      <x:c r="G87" s="30" t="str">
        <x:v>asfbrokerage@asflogistics.com</x:v>
      </x:c>
      <x:c r="H87" s="30" t="str">
        <x:f>IF(ISNUMBER(SEARCH(":1",AC87)),"已验证有效",IF(ISNUMBER(SEARCH(":3",AC87)),"验证不确定",IF(ISNUMBER(SEARCH(":0",AC87)),"接口未能检测",IF(ISNUMBER(SEARCH(":2",AC87)),"判定无效",IF(V87&lt;&gt;"","官网已确认-未验证","无邮箱")))))</x:f>
        <x:v>已验证有效</x:v>
      </x:c>
      <x:c r="I87" s="30" t="str">
        <x:v>+1 843-628-2644</x:v>
      </x:c>
      <x:c r="J87" s="30" t="str"/>
      <x:c r="K87" s="35" t="n">
        <x:f>ROUND((IF(H87="已验证有效",40,IF(V87&lt;&gt;"",20,0))+IF(ISNUMBER(SEARCH("状态1",Y87)),25,0)+IF(J87&lt;&gt;"",20,0)+IF(AA87&lt;&gt;"",15,0))/100,2)</x:f>
        <x:v>0.65</x:v>
      </x:c>
      <x:c r="L87" s="30" t="str">
        <x:v>待联系</x:v>
      </x:c>
      <x:c r="M87" s="30" t="str"/>
      <x:c r="N87" s="30" t="str">
        <x:v>South Carolina, USA</x:v>
      </x:c>
      <x:c r="O87" s="30" t="str"/>
      <x:c r="P87" s="30" t="str">
        <x:v>暂无经营范围信息</x:v>
      </x:c>
      <x:c r="Q87" s="32" t="n">
        <x:v>1</x:v>
      </x:c>
      <x:c r="R87" s="32" t="n">
        <x:v>71272</x:v>
      </x:c>
      <x:c r="S87" s="33" t="n">
        <x:v>0</x:v>
      </x:c>
      <x:c r="T87" s="34" t="n">
        <x:v>45631.666666666664</x:v>
      </x:c>
      <x:c r="U87" s="30" t="str">
        <x:v>asfbrokerage@asflogistics.com; chsimports@asfglobal.net</x:v>
      </x:c>
      <x:c r="V87" s="30" t="str"/>
      <x:c r="W87" s="30" t="str">
        <x:v>8436282644; 8436281206; 18438002643; 8433176820; 8436476430; +1 843-628-2644</x:v>
      </x:c>
      <x:c r="X87" s="30" t="str"/>
      <x:c r="Y87" s="30" t="str">
        <x:v>8436282644:状态2/类型0/WhatsApp0; 8436281206:状态2/类型0/WhatsApp0; 18438002643:状态2/类型0/WhatsApp0; 8433176820:状态2/类型0/WhatsApp0; 8436476430:状态2/类型0/WhatsApp0; +1 843-628-2644:状态1/类型3/WhatsApp2</x:v>
      </x:c>
      <x:c r="Z87" s="30" t="str"/>
      <x:c r="AA87" s="30" t="str"/>
      <x:c r="AB87" s="30" t="str"/>
      <x:c r="AC87" s="30" t="str">
        <x:v>asfbrokerage@asflogistics.com:1; chsimports@asfglobal.net:1</x:v>
      </x:c>
      <x:c r="AD87" s="30" t="str"/>
      <x:c r="AE87" s="30" t="str"/>
      <x:c r="AF87" s="30" t="str">
        <x:v>COTTON SWABS SHAMPOO BRUSH WOOL FELTING PENDANT KIT ANKLE SUPPORT 2PK DISPENSER PUMP DESKTOP ORGANIZER TRAY ASTD PLASTIC TOYS</x:v>
      </x:c>
      <x:c r="AG87" s="30" t="str"/>
      <x:c r="AH87" s="30" t="str"/>
      <x:c r="AI87" s="30" t="str"/>
      <x:c r="AJ87" s="30" t="str">
        <x:v>羊毛刷</x:v>
      </x:c>
      <x:c r="AK87" s="30" t="str">
        <x:v>expansion-search-wool-brush-page-03</x:v>
      </x:c>
      <x:c r="AL87" s="30" t="str">
        <x:v>UpKuajing customs company contact API</x:v>
      </x:c>
      <x:c r="AM87" s="30" t="str"/>
      <x:c r="AN87" s="30" t="str"/>
      <x:c r="AO87" s="34" t="n">
        <x:v>46220</x:v>
      </x:c>
    </x:row>
    <x:row r="88" ht="44" customHeight="1">
      <x:c r="A88" s="30" t="str">
        <x:v>API联系方式已获取</x:v>
      </x:c>
      <x:c r="B88" s="30" t="str">
        <x:v>高-欧美</x:v>
      </x:c>
      <x:c r="C88" s="30" t="str">
        <x:v>PVC护角条</x:v>
      </x:c>
      <x:c r="D88" s="31" t="str">
        <x:v>71391994</x:v>
      </x:c>
      <x:c r="E88" s="30" t="str">
        <x:v>COSMIC EXPRESS CORP.</x:v>
      </x:c>
      <x:c r="F88" s="30" t="str">
        <x:v>美国</x:v>
      </x:c>
      <x:c r="G88" s="30" t="str">
        <x:v>2cosmic@cosmicusa.com</x:v>
      </x:c>
      <x:c r="H88" s="30" t="str">
        <x:f>IF(ISNUMBER(SEARCH(":1",AC88)),"已验证有效",IF(ISNUMBER(SEARCH(":3",AC88)),"验证不确定",IF(ISNUMBER(SEARCH(":0",AC88)),"接口未能检测",IF(ISNUMBER(SEARCH(":2",AC88)),"判定无效",IF(V88&lt;&gt;"","官网已确认-未验证","无邮箱")))))</x:f>
        <x:v>接口未能检测</x:v>
      </x:c>
      <x:c r="I88" s="30" t="str">
        <x:v>+1 562-236-1868</x:v>
      </x:c>
      <x:c r="J88" s="30" t="str"/>
      <x:c r="K88" s="35" t="n">
        <x:f>ROUND((IF(H88="已验证有效",40,IF(V88&lt;&gt;"",20,0))+IF(ISNUMBER(SEARCH("状态1",Y88)),25,0)+IF(J88&lt;&gt;"",20,0)+IF(AA88&lt;&gt;"",15,0))/100,2)</x:f>
        <x:v>0.25</x:v>
      </x:c>
      <x:c r="L88" s="30" t="str">
        <x:v>待联系</x:v>
      </x:c>
      <x:c r="M88" s="30" t="str"/>
      <x:c r="N88" s="30" t="str">
        <x:v>Santa Fe Springs, California</x:v>
      </x:c>
      <x:c r="O88" s="30" t="str"/>
      <x:c r="P88" s="30" t="str">
        <x:v>暂无经营范围信息</x:v>
      </x:c>
      <x:c r="Q88" s="32" t="n">
        <x:v>1</x:v>
      </x:c>
      <x:c r="R88" s="32" t="n">
        <x:v>4237</x:v>
      </x:c>
      <x:c r="S88" s="33" t="n">
        <x:v>0.0002</x:v>
      </x:c>
      <x:c r="T88" s="34" t="n">
        <x:v>45789.666666666664</x:v>
      </x:c>
      <x:c r="U88" s="30" t="str">
        <x:v>2cosmic@cosmicusa.com; david_wang@cosmicusa.com</x:v>
      </x:c>
      <x:c r="V88" s="30" t="str"/>
      <x:c r="W88" s="30" t="str">
        <x:v>5622361868; 5622362968; 5622988968; +1 562-236-1868</x:v>
      </x:c>
      <x:c r="X88" s="30" t="str"/>
      <x:c r="Y88" s="30" t="str">
        <x:v>5622361868:状态2/类型0/WhatsApp0; 5622362968:状态2/类型0/WhatsApp0; 5622988968:状态2/类型0/WhatsApp0; +1 562-236-1868:状态1/类型3/WhatsApp2</x:v>
      </x:c>
      <x:c r="Z88" s="30" t="str"/>
      <x:c r="AA88" s="30" t="str"/>
      <x:c r="AB88" s="30" t="str"/>
      <x:c r="AC88" s="30" t="str">
        <x:v>2cosmic@cosmicusa.com:0; david_wang@cosmicusa.com:0</x:v>
      </x:c>
      <x:c r="AD88" s="30" t="str">
        <x:v>PVC护角条</x:v>
      </x:c>
      <x:c r="AE88" s="30" t="str">
        <x:v>PVC；Corner bead</x:v>
      </x:c>
      <x:c r="AF88" s="30" t="str">
        <x:v>PVC CORNER BEAD NAME ACCOUNT: SPECIAL COMM BU LLET --- CUCC:HKHKGSPECL KARINA_GARCIA@COSM ICUSA.COM; DAVID_WANG@COSMICUSA.COM; J...</x:v>
      </x:c>
      <x:c r="AG88" s="30" t="str">
        <x:v>PVC corner trim；Plastic corner bead；PVC edge protector；Corner molding；PVC护角条</x:v>
      </x:c>
      <x:c r="AH88" s="30" t="str">
        <x:v>PVC resin；增塑剂；Stabilizer；Filler；Pigment</x:v>
      </x:c>
      <x:c r="AI88" s="30" t="str">
        <x:v>建筑工程；Interior decoration；Building facades；Renovation works；Wall corners</x:v>
      </x:c>
      <x:c r="AJ88" s="30" t="str">
        <x:v>PVC护角条</x:v>
      </x:c>
      <x:c r="AK88" s="30" t="str">
        <x:v>expansion-search-pvc-corner-guard-page-01</x:v>
      </x:c>
      <x:c r="AL88" s="30" t="str">
        <x:v>UpKuajing customs company contact API</x:v>
      </x:c>
      <x:c r="AM88" s="30" t="str"/>
      <x:c r="AN88" s="30" t="str"/>
      <x:c r="AO88" s="34" t="n">
        <x:v>46220</x:v>
      </x:c>
    </x:row>
    <x:row r="89" ht="44" customHeight="1">
      <x:c r="A89" s="30" t="str">
        <x:v>API联系方式已获取</x:v>
      </x:c>
      <x:c r="B89" s="30" t="str">
        <x:v>高-欧美</x:v>
      </x:c>
      <x:c r="C89" s="30" t="str">
        <x:v>PVC护角条</x:v>
      </x:c>
      <x:c r="D89" s="31" t="str">
        <x:v>71392690</x:v>
      </x:c>
      <x:c r="E89" s="30" t="str">
        <x:v>CROSS-CONTINENTS TRANS INC</x:v>
      </x:c>
      <x:c r="F89" s="30" t="str">
        <x:v>美国</x:v>
      </x:c>
      <x:c r="G89" s="30" t="str">
        <x:v>import01@cross-conttrans.com</x:v>
      </x:c>
      <x:c r="H89" s="30" t="str">
        <x:f>IF(ISNUMBER(SEARCH(":1",AC89)),"已验证有效",IF(ISNUMBER(SEARCH(":3",AC89)),"验证不确定",IF(ISNUMBER(SEARCH(":0",AC89)),"接口未能检测",IF(ISNUMBER(SEARCH(":2",AC89)),"判定无效",IF(V89&lt;&gt;"","官网已确认-未验证","无邮箱")))))</x:f>
        <x:v>已验证有效</x:v>
      </x:c>
      <x:c r="I89" s="30" t="str"/>
      <x:c r="J89" s="30" t="str"/>
      <x:c r="K89" s="35" t="n">
        <x:f>ROUND((IF(H89="已验证有效",40,IF(V89&lt;&gt;"",20,0))+IF(ISNUMBER(SEARCH("状态1",Y89)),25,0)+IF(J89&lt;&gt;"",20,0)+IF(AA89&lt;&gt;"",15,0))/100,2)</x:f>
        <x:v>0.4</x:v>
      </x:c>
      <x:c r="L89" s="30" t="str">
        <x:v>待联系</x:v>
      </x:c>
      <x:c r="M89" s="30" t="str"/>
      <x:c r="N89" s="30" t="str">
        <x:v>Diamond Bar, California</x:v>
      </x:c>
      <x:c r="O89" s="30" t="str"/>
      <x:c r="P89" s="30" t="str">
        <x:v>暂无经营范围信息</x:v>
      </x:c>
      <x:c r="Q89" s="32" t="n">
        <x:v>1</x:v>
      </x:c>
      <x:c r="R89" s="32" t="n">
        <x:v>7004</x:v>
      </x:c>
      <x:c r="S89" s="33" t="n">
        <x:v>0.0001</x:v>
      </x:c>
      <x:c r="T89" s="34" t="n">
        <x:v>45642.666666666664</x:v>
      </x:c>
      <x:c r="U89" s="30" t="str">
        <x:v>import01@cross-conttrans.com; juliex@cross-conttrans.com</x:v>
      </x:c>
      <x:c r="V89" s="30" t="str"/>
      <x:c r="W89" s="30" t="str"/>
      <x:c r="X89" s="30" t="str"/>
      <x:c r="Y89" s="30" t="str"/>
      <x:c r="Z89" s="30" t="str"/>
      <x:c r="AA89" s="30" t="str"/>
      <x:c r="AB89" s="30" t="str"/>
      <x:c r="AC89" s="30" t="str">
        <x:v>import01@cross-conttrans.com:1; juliex@cross-conttrans.com:1</x:v>
      </x:c>
      <x:c r="AD89" s="30" t="str">
        <x:v>Side Table；Wall Panel；Sofa；Artificial Plants；PVC护角条</x:v>
      </x:c>
      <x:c r="AE89" s="30" t="str">
        <x:v>Side Table；Wall Panel；Sofa；Artificial Plants；PVC护角条；PVC</x:v>
      </x:c>
      <x:c r="AF89" s="30" t="str">
        <x:v>SIDE TABLE WALL PANEL SOFA ARTIFICIAL PLANTS PVC CORNER GUARD THIS SHIPMENT CONTAINS NO S OLID WOOD PACKING MATERIALS (CONTINUED...</x:v>
      </x:c>
      <x:c r="AG89" s="30" t="str">
        <x:v>End Table；Wall Covering；Couch；Fake Plants；PVC Edge Protector</x:v>
      </x:c>
      <x:c r="AH89" s="30" t="str">
        <x:v>Wood；塑料；Fabric；PVC Resin；Plant Materials</x:v>
      </x:c>
      <x:c r="AI89" s="30" t="str">
        <x:v>Living Room；Bedroom；Office；Hotel；Restaurant</x:v>
      </x:c>
      <x:c r="AJ89" s="30" t="str">
        <x:v>PVC护角条</x:v>
      </x:c>
      <x:c r="AK89" s="30" t="str">
        <x:v>expansion-search-pvc-corner-guard-page-01</x:v>
      </x:c>
      <x:c r="AL89" s="30" t="str">
        <x:v>UpKuajing customs company contact API</x:v>
      </x:c>
      <x:c r="AM89" s="30" t="str"/>
      <x:c r="AN89" s="30" t="str"/>
      <x:c r="AO89" s="34" t="n">
        <x:v>46220</x:v>
      </x:c>
    </x:row>
    <x:row r="90" ht="44" customHeight="1">
      <x:c r="A90" s="30" t="str">
        <x:v>API联系方式已获取</x:v>
      </x:c>
      <x:c r="B90" s="30" t="str">
        <x:v>高-欧美</x:v>
      </x:c>
      <x:c r="C90" s="30" t="str">
        <x:v>塑料桶</x:v>
      </x:c>
      <x:c r="D90" s="31" t="str">
        <x:v>229233</x:v>
      </x:c>
      <x:c r="E90" s="30" t="str">
        <x:v>dollar empire llc</x:v>
      </x:c>
      <x:c r="F90" s="30" t="str">
        <x:v>美国</x:v>
      </x:c>
      <x:c r="G90" s="30" t="str">
        <x:v>sales@dollarempirellc.com</x:v>
      </x:c>
      <x:c r="H90" s="30" t="str">
        <x:f>IF(ISNUMBER(SEARCH(":1",AC90)),"已验证有效",IF(ISNUMBER(SEARCH(":3",AC90)),"验证不确定",IF(ISNUMBER(SEARCH(":0",AC90)),"接口未能检测",IF(ISNUMBER(SEARCH(":2",AC90)),"判定无效",IF(V90&lt;&gt;"","官网已确认-未验证","无邮箱")))))</x:f>
        <x:v>已验证有效</x:v>
      </x:c>
      <x:c r="I90" s="30" t="str">
        <x:v>+1 323-268-8999</x:v>
      </x:c>
      <x:c r="J90" s="30" t="str">
        <x:v>www.dollarempirellc.com</x:v>
      </x:c>
      <x:c r="K90" s="35" t="n">
        <x:f>ROUND((IF(H90="已验证有效",40,IF(V90&lt;&gt;"",20,0))+IF(ISNUMBER(SEARCH("状态1",Y90)),25,0)+IF(J90&lt;&gt;"",20,0)+IF(AA90&lt;&gt;"",15,0))/100,2)</x:f>
        <x:v>0.85</x:v>
      </x:c>
      <x:c r="L90" s="30" t="str">
        <x:v>待联系</x:v>
      </x:c>
      <x:c r="M90" s="30" t="str"/>
      <x:c r="N90" s="30" t="str">
        <x:v>4423 e bandini blvd., vernon, ca 90058, usa</x:v>
      </x:c>
      <x:c r="O90" s="30" t="str"/>
      <x:c r="P90" s="30" t="str">
        <x:v>塑料厂，文件，计算器，旋风分离器，花浴垫，片材，自行车锁，计数，冷杉，橡胶锤，食品容器，锁钳，迎宾垫，套件，木板，钉子</x:v>
      </x:c>
      <x:c r="Q90" s="32" t="n">
        <x:v>1</x:v>
      </x:c>
      <x:c r="R90" s="32" t="n">
        <x:v>7918</x:v>
      </x:c>
      <x:c r="S90" s="33" t="n">
        <x:v>0.0001</x:v>
      </x:c>
      <x:c r="T90" s="34" t="n">
        <x:v>45540.666666666664</x:v>
      </x:c>
      <x:c r="U90" s="30" t="str">
        <x:v>sales@dollarempirellc.com</x:v>
      </x:c>
      <x:c r="V90" s="30" t="str"/>
      <x:c r="W90" s="30" t="str">
        <x:v>+1 323-268-8999</x:v>
      </x:c>
      <x:c r="X90" s="30" t="str"/>
      <x:c r="Y90" s="30" t="str">
        <x:v>+1 323-268-8999:状态1/类型3/WhatsApp2</x:v>
      </x:c>
      <x:c r="Z90" s="30" t="str"/>
      <x:c r="AA90" s="30" t="str"/>
      <x:c r="AB90" s="30" t="str"/>
      <x:c r="AC90" s="30" t="str">
        <x:v>sales@dollarempirellc.com:1</x:v>
      </x:c>
      <x:c r="AD90" s="30" t="str">
        <x:v>塑料桶；Plastic Basin</x:v>
      </x:c>
      <x:c r="AE90" s="30" t="str">
        <x:v>塑料；Pail；Basin</x:v>
      </x:c>
      <x:c r="AF90" s="30" t="str">
        <x:v>PLASTIC PAILBASIN</x:v>
      </x:c>
      <x:c r="AG90" s="30" t="str">
        <x:v>塑料桶；Plastic Tub；Plastic Can；Plastic Container；Plastic Vessel</x:v>
      </x:c>
      <x:c r="AH90" s="30" t="str">
        <x:v>塑料树脂；聚乙烯；Polypropylene；PVC；PET</x:v>
      </x:c>
      <x:c r="AI90" s="30" t="str">
        <x:v>Household；Agriculture；Industry；Food Service；Cleaning</x:v>
      </x:c>
      <x:c r="AJ90" s="30" t="str">
        <x:v>塑料桶</x:v>
      </x:c>
      <x:c r="AK90" s="30" t="str">
        <x:v>expansion-search-plastic-pail-page-03</x:v>
      </x:c>
      <x:c r="AL90" s="30" t="str">
        <x:v>UpKuajing customs company contact API</x:v>
      </x:c>
      <x:c r="AM90" s="30" t="str"/>
      <x:c r="AN90" s="30" t="str"/>
      <x:c r="AO90" s="34" t="n">
        <x:v>46220</x:v>
      </x:c>
    </x:row>
    <x:row r="91" ht="44" customHeight="1">
      <x:c r="A91" s="30" t="str">
        <x:v>API联系方式已获取</x:v>
      </x:c>
      <x:c r="B91" s="30" t="str">
        <x:v>高-欧美</x:v>
      </x:c>
      <x:c r="C91" s="30" t="str">
        <x:v>塑料桶</x:v>
      </x:c>
      <x:c r="D91" s="31" t="str">
        <x:v>71420110</x:v>
      </x:c>
      <x:c r="E91" s="30" t="str">
        <x:v>HECNY TRANSPORTATION, INC.</x:v>
      </x:c>
      <x:c r="F91" s="30" t="str">
        <x:v>美国</x:v>
      </x:c>
      <x:c r="G91" s="30" t="str">
        <x:v>hecnyan@hecny.com</x:v>
      </x:c>
      <x:c r="H91" s="30" t="str">
        <x:f>IF(ISNUMBER(SEARCH(":1",AC91)),"已验证有效",IF(ISNUMBER(SEARCH(":3",AC91)),"验证不确定",IF(ISNUMBER(SEARCH(":0",AC91)),"接口未能检测",IF(ISNUMBER(SEARCH(":2",AC91)),"判定无效",IF(V91&lt;&gt;"","官网已确认-未验证","无邮箱")))))</x:f>
        <x:v>已验证有效</x:v>
      </x:c>
      <x:c r="I91" s="30" t="str">
        <x:v>+1 562-616-7888</x:v>
      </x:c>
      <x:c r="J91" s="30" t="str"/>
      <x:c r="K91" s="35" t="n">
        <x:f>ROUND((IF(H91="已验证有效",40,IF(V91&lt;&gt;"",20,0))+IF(ISNUMBER(SEARCH("状态1",Y91)),25,0)+IF(J91&lt;&gt;"",20,0)+IF(AA91&lt;&gt;"",15,0))/100,2)</x:f>
        <x:v>0.65</x:v>
      </x:c>
      <x:c r="L91" s="30" t="str">
        <x:v>待联系</x:v>
      </x:c>
      <x:c r="M91" s="30" t="str"/>
      <x:c r="N91" s="30" t="str">
        <x:v>Carson, California</x:v>
      </x:c>
      <x:c r="O91" s="30" t="str"/>
      <x:c r="P91" s="30" t="str">
        <x:v>暂无经营范围信息</x:v>
      </x:c>
      <x:c r="Q91" s="32" t="n">
        <x:v>1</x:v>
      </x:c>
      <x:c r="R91" s="32" t="n">
        <x:v>186913</x:v>
      </x:c>
      <x:c r="S91" s="33" t="n">
        <x:v>0</x:v>
      </x:c>
      <x:c r="T91" s="34" t="n">
        <x:v>45495.666666666664</x:v>
      </x:c>
      <x:c r="U91" s="30" t="str">
        <x:v>hecnyan@hecny.com; miaop@hency.com</x:v>
      </x:c>
      <x:c r="V91" s="30" t="str"/>
      <x:c r="W91" s="30" t="str">
        <x:v>13054714706; 13055945882; +1 562-616-7888; 3055947084; 5626167888; 5626167895</x:v>
      </x:c>
      <x:c r="X91" s="30" t="str"/>
      <x:c r="Y91" s="30" t="str">
        <x:v>13054714706:状态2/类型0/WhatsApp2; 13055945882:状态2/类型0/WhatsApp2; +1 562-616-7888:状态1/类型3/WhatsApp2; 3055947084:状态2/类型0/WhatsApp0; 5626167888:状态2/类型0/WhatsApp0; 5626167895:状态2/类型0/WhatsApp0</x:v>
      </x:c>
      <x:c r="Z91" s="30" t="str"/>
      <x:c r="AA91" s="30" t="str"/>
      <x:c r="AB91" s="30" t="str"/>
      <x:c r="AC91" s="30" t="str">
        <x:v>hecnyan@hecny.com:1; miaop@hency.com:0</x:v>
      </x:c>
      <x:c r="AD91" s="30" t="str">
        <x:v>Hook；Plastic cable ties；Christmas ball；Door mat；塑料桶；Pipe；Plier</x:v>
      </x:c>
      <x:c r="AE91" s="30" t="str">
        <x:v>Hook；塑料；Cable ties；Christmas ball；Door mat；塑料桶；Pipe；Plier</x:v>
      </x:c>
      <x:c r="AF91" s="30" t="str">
        <x:v>HOOK PLASTIC CABLE TIES CHRI STMAS BALL DOOR MAT PLASTIC BUCKET PIPE PLIER SCAC CODE: HYSL S/C:299079210</x:v>
      </x:c>
      <x:c r="AG91" s="30" t="str">
        <x:v>Hanger；Plastic ties；Holiday ball；Floor mat；Plastic container</x:v>
      </x:c>
      <x:c r="AH91" s="30" t="str">
        <x:v>Steel；塑料树脂；Fabric；Glass；橡胶</x:v>
      </x:c>
      <x:c r="AI91" s="30" t="str">
        <x:v>Home decoration；Electrical installation；Household use；建筑施工；DIY项目</x:v>
      </x:c>
      <x:c r="AJ91" s="30" t="str">
        <x:v>塑料桶</x:v>
      </x:c>
      <x:c r="AK91" s="30" t="str">
        <x:v>expansion-search-plastic-bucket-page-02</x:v>
      </x:c>
      <x:c r="AL91" s="30" t="str">
        <x:v>UpKuajing customs company contact API</x:v>
      </x:c>
      <x:c r="AM91" s="30" t="str"/>
      <x:c r="AN91" s="30" t="str"/>
      <x:c r="AO91" s="34" t="n">
        <x:v>46220</x:v>
      </x:c>
    </x:row>
    <x:row r="92" ht="44" customHeight="1">
      <x:c r="A92" s="30" t="str">
        <x:v>API联系方式已获取</x:v>
      </x:c>
      <x:c r="B92" s="30" t="str">
        <x:v>高-欧美</x:v>
      </x:c>
      <x:c r="C92" s="30" t="str">
        <x:v>塑料桶</x:v>
      </x:c>
      <x:c r="D92" s="31" t="str">
        <x:v>220252</x:v>
      </x:c>
      <x:c r="E92" s="30" t="str">
        <x:v>homedecor factory</x:v>
      </x:c>
      <x:c r="F92" s="30" t="str">
        <x:v>美国</x:v>
      </x:c>
      <x:c r="G92" s="30" t="str">
        <x:v>info@homedecorfactory.com</x:v>
      </x:c>
      <x:c r="H92" s="30" t="str">
        <x:f>IF(ISNUMBER(SEARCH(":1",AC92)),"已验证有效",IF(ISNUMBER(SEARCH(":3",AC92)),"验证不确定",IF(ISNUMBER(SEARCH(":0",AC92)),"接口未能检测",IF(ISNUMBER(SEARCH(":2",AC92)),"判定无效",IF(V92&lt;&gt;"","官网已确认-未验证","无邮箱")))))</x:f>
        <x:v>接口未能检测</x:v>
      </x:c>
      <x:c r="I92" s="30" t="str">
        <x:v>+1 909-947-3228</x:v>
      </x:c>
      <x:c r="J92" s="30" t="str">
        <x:v>http://homedecorfactory.com</x:v>
      </x:c>
      <x:c r="K92" s="35" t="n">
        <x:f>ROUND((IF(H92="已验证有效",40,IF(V92&lt;&gt;"",20,0))+IF(ISNUMBER(SEARCH("状态1",Y92)),25,0)+IF(J92&lt;&gt;"",20,0)+IF(AA92&lt;&gt;"",15,0))/100,2)</x:f>
        <x:v>0.45</x:v>
      </x:c>
      <x:c r="L92" s="30" t="str">
        <x:v>待联系</x:v>
      </x:c>
      <x:c r="M92" s="30" t="str"/>
      <x:c r="N92" s="30" t="str">
        <x:v>1455 south campus ave, suite c ontario, california 91761</x:v>
      </x:c>
      <x:c r="O92" s="30" t="str"/>
      <x:c r="P92" s="30" t="str">
        <x:v>大理石蜡烛，花罐，天使装饰，人造花，铁制品，金属植物架，墨纸，豹子，铁玻璃，金属玻璃，木金属艺术，布料，芒，钢笔，焦油，罐，圣诞装饰品，装饰手，圆脚，木手</x:v>
      </x:c>
      <x:c r="Q92" s="32" t="n">
        <x:v>1</x:v>
      </x:c>
      <x:c r="R92" s="32" t="n">
        <x:v>19381</x:v>
      </x:c>
      <x:c r="S92" s="33" t="n">
        <x:v>0.0001</x:v>
      </x:c>
      <x:c r="T92" s="34" t="n">
        <x:v>45664.666666666664</x:v>
      </x:c>
      <x:c r="U92" s="30" t="str">
        <x:v>info@homedecorfactory.com</x:v>
      </x:c>
      <x:c r="V92" s="30" t="str"/>
      <x:c r="W92" s="30" t="str">
        <x:v>+1 909-947-3228</x:v>
      </x:c>
      <x:c r="X92" s="30" t="str"/>
      <x:c r="Y92" s="30" t="str">
        <x:v>+1 909-947-3228:状态1/类型3/WhatsApp2</x:v>
      </x:c>
      <x:c r="Z92" s="30" t="str"/>
      <x:c r="AA92" s="30" t="str"/>
      <x:c r="AB92" s="30" t="str"/>
      <x:c r="AC92" s="30" t="str">
        <x:v>info@homedecorfactory.com:0</x:v>
      </x:c>
      <x:c r="AD92" s="30" t="str">
        <x:v>Plastic Woven Bucket</x:v>
      </x:c>
      <x:c r="AE92" s="30" t="str">
        <x:v>塑料；Woven；Bucket；Storage</x:v>
      </x:c>
      <x:c r="AF92" s="30" t="str">
        <x:v>Bộ 3 thùng đan dây nhựa có nắp KT Dia17.75 xH25.25', Dia15.75 xH22.5', Dia14 xH19.75' MS SO02340. Hàng mới 100%#&amp;VN</x:v>
      </x:c>
      <x:c r="AG92" s="30" t="str">
        <x:v>塑料桶；Plastic Tub；Woven Plastic Container；Plastic Storage Bucket；Woven Plastic Bin</x:v>
      </x:c>
      <x:c r="AH92" s="30" t="str">
        <x:v>塑料树脂；Fibers；Chemicals；颜料；添加剂</x:v>
      </x:c>
      <x:c r="AI92" s="30" t="str">
        <x:v>Home Storage；Industrial Storage；Agricultural Storage；Retail Storage；Warehouse Storage</x:v>
      </x:c>
      <x:c r="AJ92" s="30" t="str">
        <x:v>塑料桶</x:v>
      </x:c>
      <x:c r="AK92" s="30" t="str">
        <x:v>expansion-search-plastic-pail-page-02</x:v>
      </x:c>
      <x:c r="AL92" s="30" t="str">
        <x:v>UpKuajing customs company contact API</x:v>
      </x:c>
      <x:c r="AM92" s="30" t="str"/>
      <x:c r="AN92" s="30" t="str"/>
      <x:c r="AO92" s="34" t="n">
        <x:v>46220</x:v>
      </x:c>
    </x:row>
    <x:row r="93" ht="44" customHeight="1">
      <x:c r="A93" s="30" t="str">
        <x:v>API联系方式已获取</x:v>
      </x:c>
      <x:c r="B93" s="30" t="str">
        <x:v>高-欧美</x:v>
      </x:c>
      <x:c r="C93" s="30" t="str">
        <x:v>塑料桶</x:v>
      </x:c>
      <x:c r="D93" s="31" t="str">
        <x:v>71423220</x:v>
      </x:c>
      <x:c r="E93" s="30" t="str">
        <x:v>HOW TON TRADING YONG KANG LTD</x:v>
      </x:c>
      <x:c r="F93" s="30" t="str">
        <x:v>美国</x:v>
      </x:c>
      <x:c r="G93" s="30" t="str">
        <x:v>harvey@ydhexpress.com</x:v>
      </x:c>
      <x:c r="H93" s="30" t="str">
        <x:f>IF(ISNUMBER(SEARCH(":1",AC93)),"已验证有效",IF(ISNUMBER(SEARCH(":3",AC93)),"验证不确定",IF(ISNUMBER(SEARCH(":0",AC93)),"接口未能检测",IF(ISNUMBER(SEARCH(":2",AC93)),"判定无效",IF(V93&lt;&gt;"","官网已确认-未验证","无邮箱")))))</x:f>
        <x:v>已验证有效</x:v>
      </x:c>
      <x:c r="I93" s="30" t="str">
        <x:v>+1 562-832-5455</x:v>
      </x:c>
      <x:c r="J93" s="30" t="str"/>
      <x:c r="K93" s="35" t="n">
        <x:f>ROUND((IF(H93="已验证有效",40,IF(V93&lt;&gt;"",20,0))+IF(ISNUMBER(SEARCH("状态1",Y93)),25,0)+IF(J93&lt;&gt;"",20,0)+IF(AA93&lt;&gt;"",15,0))/100,2)</x:f>
        <x:v>0.65</x:v>
      </x:c>
      <x:c r="L93" s="30" t="str">
        <x:v>待联系</x:v>
      </x:c>
      <x:c r="M93" s="30" t="str"/>
      <x:c r="N93" s="30" t="str">
        <x:v>Moreno Valley, California</x:v>
      </x:c>
      <x:c r="O93" s="30" t="str"/>
      <x:c r="P93" s="30" t="str">
        <x:v>暂无经营范围信息</x:v>
      </x:c>
      <x:c r="Q93" s="32" t="n">
        <x:v>1</x:v>
      </x:c>
      <x:c r="R93" s="32" t="n">
        <x:v>268</x:v>
      </x:c>
      <x:c r="S93" s="33" t="n">
        <x:v>0.0037</x:v>
      </x:c>
      <x:c r="T93" s="34" t="n">
        <x:v>46128.666666666664</x:v>
      </x:c>
      <x:c r="U93" s="30" t="str">
        <x:v>harvey@ydhexpress.com</x:v>
      </x:c>
      <x:c r="V93" s="30" t="str"/>
      <x:c r="W93" s="30" t="str">
        <x:v>+1 562-832-5455; 5628325455</x:v>
      </x:c>
      <x:c r="X93" s="30" t="str"/>
      <x:c r="Y93" s="30" t="str">
        <x:v>+1 562-832-5455:状态1/类型3/WhatsApp1; 5628325455:状态2/类型0/WhatsApp0</x:v>
      </x:c>
      <x:c r="Z93" s="30" t="str">
        <x:v>+1 562-832-5455</x:v>
      </x:c>
      <x:c r="AA93" s="30" t="str"/>
      <x:c r="AB93" s="30" t="str"/>
      <x:c r="AC93" s="30" t="str">
        <x:v>harvey@ydhexpress.com:1</x:v>
      </x:c>
      <x:c r="AD93" s="30" t="str"/>
      <x:c r="AE93" s="30" t="str"/>
      <x:c r="AF93" s="30" t="str">
        <x:v>PLASTIC MOP BUCKET/STAINLESS STEEL CUP</x:v>
      </x:c>
      <x:c r="AG93" s="30" t="str"/>
      <x:c r="AH93" s="30" t="str"/>
      <x:c r="AI93" s="30" t="str"/>
      <x:c r="AJ93" s="30" t="str">
        <x:v>塑料桶</x:v>
      </x:c>
      <x:c r="AK93" s="30" t="str">
        <x:v>expansion-search-plastic-bucket-page-02</x:v>
      </x:c>
      <x:c r="AL93" s="30" t="str">
        <x:v>UpKuajing customs company contact API</x:v>
      </x:c>
      <x:c r="AM93" s="30" t="str"/>
      <x:c r="AN93" s="30" t="str"/>
      <x:c r="AO93" s="34" t="n">
        <x:v>46220</x:v>
      </x:c>
    </x:row>
    <x:row r="94" ht="44" customHeight="1">
      <x:c r="A94" s="30" t="str">
        <x:v>API联系方式已获取</x:v>
      </x:c>
      <x:c r="B94" s="30" t="str">
        <x:v>高-欧美</x:v>
      </x:c>
      <x:c r="C94" s="30" t="str">
        <x:v>塑料桶</x:v>
      </x:c>
      <x:c r="D94" s="31" t="str">
        <x:v>71422960</x:v>
      </x:c>
      <x:c r="E94" s="30" t="str">
        <x:v>HOYA INTERNATIONAL CORP.</x:v>
      </x:c>
      <x:c r="F94" s="30" t="str">
        <x:v>美国</x:v>
      </x:c>
      <x:c r="G94" s="30" t="str">
        <x:v>customerservice@hoyashipping.com</x:v>
      </x:c>
      <x:c r="H94" s="30" t="str">
        <x:f>IF(ISNUMBER(SEARCH(":1",AC94)),"已验证有效",IF(ISNUMBER(SEARCH(":3",AC94)),"验证不确定",IF(ISNUMBER(SEARCH(":0",AC94)),"接口未能检测",IF(ISNUMBER(SEARCH(":2",AC94)),"判定无效",IF(V94&lt;&gt;"","官网已确认-未验证","无邮箱")))))</x:f>
        <x:v>已验证有效</x:v>
      </x:c>
      <x:c r="I94" s="30" t="str">
        <x:v>+1 626-279-1268</x:v>
      </x:c>
      <x:c r="J94" s="30" t="str"/>
      <x:c r="K94" s="35" t="n">
        <x:f>ROUND((IF(H94="已验证有效",40,IF(V94&lt;&gt;"",20,0))+IF(ISNUMBER(SEARCH("状态1",Y94)),25,0)+IF(J94&lt;&gt;"",20,0)+IF(AA94&lt;&gt;"",15,0))/100,2)</x:f>
        <x:v>0.65</x:v>
      </x:c>
      <x:c r="L94" s="30" t="str">
        <x:v>待联系</x:v>
      </x:c>
      <x:c r="M94" s="30" t="str"/>
      <x:c r="N94" s="30" t="str">
        <x:v>South El Monte, California</x:v>
      </x:c>
      <x:c r="O94" s="30" t="str"/>
      <x:c r="P94" s="30" t="str">
        <x:v>暂无经营范围信息</x:v>
      </x:c>
      <x:c r="Q94" s="32" t="n">
        <x:v>1</x:v>
      </x:c>
      <x:c r="R94" s="32" t="n">
        <x:v>6932</x:v>
      </x:c>
      <x:c r="S94" s="33" t="n">
        <x:v>0.0001</x:v>
      </x:c>
      <x:c r="T94" s="34" t="n">
        <x:v>45690.666666666664</x:v>
      </x:c>
      <x:c r="U94" s="30" t="str">
        <x:v>customerservice@hoyashipping.com</x:v>
      </x:c>
      <x:c r="V94" s="30" t="str"/>
      <x:c r="W94" s="30" t="str">
        <x:v>+1 626-279-1268; 6262791268</x:v>
      </x:c>
      <x:c r="X94" s="30" t="str"/>
      <x:c r="Y94" s="30" t="str">
        <x:v>+1 626-279-1268:状态1/类型3/WhatsApp2; 6262791268:状态2/类型0/WhatsApp2</x:v>
      </x:c>
      <x:c r="Z94" s="30" t="str"/>
      <x:c r="AA94" s="30" t="str"/>
      <x:c r="AB94" s="30" t="str"/>
      <x:c r="AC94" s="30" t="str">
        <x:v>customerservice@hoyashipping.com:1</x:v>
      </x:c>
      <x:c r="AD94" s="30" t="str">
        <x:v>Storage Cabinet；塑料桶；Bottle</x:v>
      </x:c>
      <x:c r="AE94" s="30" t="str">
        <x:v>Storage；Cabinet；塑料；Bucket；Bottle</x:v>
      </x:c>
      <x:c r="AF94" s="30" t="str">
        <x:v>STORAGE CABINET PLASTIC BUCKET BOTTLE THE SH IPMENT CONTAINS NO SOLID WOOD PACKING MATERIA LS</x:v>
      </x:c>
      <x:c r="AG94" s="30" t="str">
        <x:v>Storage Box；Plastic Bin；Jug；Container；Storage Shelf</x:v>
      </x:c>
      <x:c r="AH94" s="30" t="str">
        <x:v>塑料树脂；石油；化学添加剂；Colorants；Fillers</x:v>
      </x:c>
      <x:c r="AI94" s="30" t="str">
        <x:v>Home Storage；Office Storage；Warehouse Storage；Food Storage；Liquid Storage</x:v>
      </x:c>
      <x:c r="AJ94" s="30" t="str">
        <x:v>塑料桶</x:v>
      </x:c>
      <x:c r="AK94" s="30" t="str">
        <x:v>expansion-search-plastic-bucket-page-02</x:v>
      </x:c>
      <x:c r="AL94" s="30" t="str">
        <x:v>UpKuajing customs company contact API</x:v>
      </x:c>
      <x:c r="AM94" s="30" t="str"/>
      <x:c r="AN94" s="30" t="str"/>
      <x:c r="AO94" s="34" t="n">
        <x:v>46220</x:v>
      </x:c>
    </x:row>
    <x:row r="95" ht="44" customHeight="1">
      <x:c r="A95" s="30" t="str">
        <x:v>API联系方式已获取</x:v>
      </x:c>
      <x:c r="B95" s="30" t="str">
        <x:v>高-欧美</x:v>
      </x:c>
      <x:c r="C95" s="30" t="str">
        <x:v>塑料桶</x:v>
      </x:c>
      <x:c r="D95" s="31" t="str">
        <x:v>256224</x:v>
      </x:c>
      <x:c r="E95" s="30" t="str">
        <x:v>hub city industries inc.</x:v>
      </x:c>
      <x:c r="F95" s="30" t="str">
        <x:v>美国</x:v>
      </x:c>
      <x:c r="G95" s="30" t="str">
        <x:v>hubsales@regalbeloit.com</x:v>
      </x:c>
      <x:c r="H95" s="30" t="str">
        <x:f>IF(ISNUMBER(SEARCH(":1",AC95)),"已验证有效",IF(ISNUMBER(SEARCH(":3",AC95)),"验证不确定",IF(ISNUMBER(SEARCH(":0",AC95)),"接口未能检测",IF(ISNUMBER(SEARCH(":2",AC95)),"判定无效",IF(V95&lt;&gt;"","官网已确认-未验证","无邮箱")))))</x:f>
        <x:v>已验证有效</x:v>
      </x:c>
      <x:c r="I95" s="30" t="str">
        <x:v>+1 605-225-0360</x:v>
      </x:c>
      <x:c r="J95" s="30" t="str">
        <x:v>www.hubcityinc.com</x:v>
      </x:c>
      <x:c r="K95" s="35" t="n">
        <x:f>ROUND((IF(H95="已验证有效",40,IF(V95&lt;&gt;"",20,0))+IF(ISNUMBER(SEARCH("状态1",Y95)),25,0)+IF(J95&lt;&gt;"",20,0)+IF(AA95&lt;&gt;"",15,0))/100,2)</x:f>
        <x:v>0.85</x:v>
      </x:c>
      <x:c r="L95" s="30" t="str">
        <x:v>待联系</x:v>
      </x:c>
      <x:c r="M95" s="30" t="str"/>
      <x:c r="N95" s="30" t="str">
        <x:v>2914 industrial ave, aberdeen, sd 57401</x:v>
      </x:c>
      <x:c r="O95" s="30" t="str"/>
      <x:c r="P95" s="30" t="str">
        <x:v>卷，拖把，纱线，珊瑚礁，12，啤酒，14，整箱集装箱，锡，11，鳕鱼，离子，宠物，刷子，线，表格，冰，20集装箱，棉拖把头，送货上门</x:v>
      </x:c>
      <x:c r="Q95" s="32" t="n">
        <x:v>1</x:v>
      </x:c>
      <x:c r="R95" s="32" t="n">
        <x:v>210</x:v>
      </x:c>
      <x:c r="S95" s="33" t="n">
        <x:v>0.0048</x:v>
      </x:c>
      <x:c r="T95" s="34" t="n">
        <x:v>45721.666666666664</x:v>
      </x:c>
      <x:c r="U95" s="30" t="str">
        <x:v>hubsales@regalbeloit.com</x:v>
      </x:c>
      <x:c r="V95" s="30" t="str"/>
      <x:c r="W95" s="30" t="str">
        <x:v>+1 605-225-0360</x:v>
      </x:c>
      <x:c r="X95" s="30" t="str"/>
      <x:c r="Y95" s="30" t="str">
        <x:v>+1 605-225-0360:状态1/类型3/WhatsApp2</x:v>
      </x:c>
      <x:c r="Z95" s="30" t="str"/>
      <x:c r="AA95" s="30" t="str"/>
      <x:c r="AB95" s="30" t="str"/>
      <x:c r="AC95" s="30" t="str">
        <x:v>hubsales@regalbeloit.com:1</x:v>
      </x:c>
      <x:c r="AD95" s="30" t="str">
        <x:v>Mop Handle；Mop Wringer；Bucket；Lobby Dustpan；Angle Broom；Dust Mop Refill；Janitor Cart；Microfiber Cloth；塑料桶；Oil Paper</x:v>
      </x:c>
      <x:c r="AE95" s="30" t="str">
        <x:v>Mop；Dustpan；Broom；Microfiber；塑料</x:v>
      </x:c>
      <x:c r="AF95" s="30" t="str">
        <x:v>MOP HANDLE MOP WRINGER BUCKET LOBBY DUSTPAN ANGLE BROOM DUST MOP REFILL JANITOR CART MICROFIBER CLOTH PLASTIC PAIL OIL PAPER&lt;br/&gt;</x:v>
      </x:c>
      <x:c r="AG95" s="30" t="str">
        <x:v>Cleaning handle；Wringer device；Cleaning bucket；Dust collector；Cleaning cart</x:v>
      </x:c>
      <x:c r="AH95" s="30" t="str">
        <x:v>Wood；塑料树脂；Microfiber material；Paper pulp；金属</x:v>
      </x:c>
      <x:c r="AI95" s="30" t="str">
        <x:v>Household cleaning；Office cleaning；Hotel cleaning；School cleaning；Factory cleaning</x:v>
      </x:c>
      <x:c r="AJ95" s="30" t="str">
        <x:v>塑料桶</x:v>
      </x:c>
      <x:c r="AK95" s="30" t="str">
        <x:v>expansion-search-plastic-pail-page-03</x:v>
      </x:c>
      <x:c r="AL95" s="30" t="str">
        <x:v>UpKuajing customs company contact API</x:v>
      </x:c>
      <x:c r="AM95" s="30" t="str"/>
      <x:c r="AN95" s="30" t="str"/>
      <x:c r="AO95" s="34" t="n">
        <x:v>46220</x:v>
      </x:c>
    </x:row>
    <x:row r="96" ht="44" customHeight="1">
      <x:c r="A96" s="30" t="str">
        <x:v>API联系方式已获取</x:v>
      </x:c>
      <x:c r="B96" s="30" t="str">
        <x:v>高-欧美</x:v>
      </x:c>
      <x:c r="C96" s="30" t="str">
        <x:v>塑料桶</x:v>
      </x:c>
      <x:c r="D96" s="31" t="str">
        <x:v>71425297</x:v>
      </x:c>
      <x:c r="E96" s="30" t="str">
        <x:v>IMPECCABLE LOGISTICS SERVICE</x:v>
      </x:c>
      <x:c r="F96" s="30" t="str">
        <x:v>美国</x:v>
      </x:c>
      <x:c r="G96" s="30" t="str">
        <x:v>op@ilsi.global</x:v>
      </x:c>
      <x:c r="H96" s="30" t="str">
        <x:f>IF(ISNUMBER(SEARCH(":1",AC96)),"已验证有效",IF(ISNUMBER(SEARCH(":3",AC96)),"验证不确定",IF(ISNUMBER(SEARCH(":0",AC96)),"接口未能检测",IF(ISNUMBER(SEARCH(":2",AC96)),"判定无效",IF(V96&lt;&gt;"","官网已确认-未验证","无邮箱")))))</x:f>
        <x:v>接口未能检测</x:v>
      </x:c>
      <x:c r="I96" s="30" t="str">
        <x:v>+1 516-323-2238</x:v>
      </x:c>
      <x:c r="J96" s="30" t="str"/>
      <x:c r="K96" s="35" t="n">
        <x:f>ROUND((IF(H96="已验证有效",40,IF(V96&lt;&gt;"",20,0))+IF(ISNUMBER(SEARCH("状态1",Y96)),25,0)+IF(J96&lt;&gt;"",20,0)+IF(AA96&lt;&gt;"",15,0))/100,2)</x:f>
        <x:v>0.25</x:v>
      </x:c>
      <x:c r="L96" s="30" t="str">
        <x:v>待联系</x:v>
      </x:c>
      <x:c r="M96" s="30" t="str"/>
      <x:c r="N96" s="30" t="str">
        <x:v>Garden City, New York</x:v>
      </x:c>
      <x:c r="O96" s="30" t="str"/>
      <x:c r="P96" s="30" t="str">
        <x:v>暂无经营范围信息</x:v>
      </x:c>
      <x:c r="Q96" s="32" t="n">
        <x:v>1</x:v>
      </x:c>
      <x:c r="R96" s="32" t="n">
        <x:v>5171</x:v>
      </x:c>
      <x:c r="S96" s="33" t="n">
        <x:v>0.0002</x:v>
      </x:c>
      <x:c r="T96" s="34" t="n">
        <x:v>46097.666666666664</x:v>
      </x:c>
      <x:c r="U96" s="30" t="str">
        <x:v>op@ilsi.global</x:v>
      </x:c>
      <x:c r="V96" s="30" t="str"/>
      <x:c r="W96" s="30" t="str">
        <x:v>+1 516-323-2238; 5163232238; 5169778788</x:v>
      </x:c>
      <x:c r="X96" s="30" t="str"/>
      <x:c r="Y96" s="30" t="str">
        <x:v>+1 516-323-2238:状态1/类型3/WhatsApp2; 5163232238:状态2/类型0/WhatsApp2; 5169778788:状态2/类型0/WhatsApp0</x:v>
      </x:c>
      <x:c r="Z96" s="30" t="str"/>
      <x:c r="AA96" s="30" t="str"/>
      <x:c r="AB96" s="30" t="str"/>
      <x:c r="AC96" s="30" t="str">
        <x:v>op@ilsi.global:0</x:v>
      </x:c>
      <x:c r="AD96" s="30" t="str"/>
      <x:c r="AE96" s="30" t="str"/>
      <x:c r="AF96" s="30" t="str">
        <x:v>PLASTIC BUCKET THIS SHIPMENT HAS NO SOLID WOO D MATERIAL PACK</x:v>
      </x:c>
      <x:c r="AG96" s="30" t="str"/>
      <x:c r="AH96" s="30" t="str"/>
      <x:c r="AI96" s="30" t="str"/>
      <x:c r="AJ96" s="30" t="str">
        <x:v>塑料桶</x:v>
      </x:c>
      <x:c r="AK96" s="30" t="str">
        <x:v>expansion-search-plastic-bucket-page-02</x:v>
      </x:c>
      <x:c r="AL96" s="30" t="str">
        <x:v>UpKuajing customs company contact API</x:v>
      </x:c>
      <x:c r="AM96" s="30" t="str"/>
      <x:c r="AN96" s="30" t="str"/>
      <x:c r="AO96" s="34" t="n">
        <x:v>46220</x:v>
      </x:c>
    </x:row>
    <x:row r="97" ht="44" customHeight="1">
      <x:c r="A97" s="30" t="str">
        <x:v>API联系方式已获取</x:v>
      </x:c>
      <x:c r="B97" s="30" t="str">
        <x:v>高-欧美</x:v>
      </x:c>
      <x:c r="C97" s="30" t="str">
        <x:v>塑料桶</x:v>
      </x:c>
      <x:c r="D97" s="31" t="str">
        <x:v>71425311</x:v>
      </x:c>
      <x:c r="E97" s="30" t="str">
        <x:v>IMPERIAL DISTRIBUTORS INC.</x:v>
      </x:c>
      <x:c r="F97" s="30" t="str">
        <x:v>美国</x:v>
      </x:c>
      <x:c r="G97" s="30" t="str">
        <x:v>customerservice@hoyashipping.com</x:v>
      </x:c>
      <x:c r="H97" s="30" t="str">
        <x:f>IF(ISNUMBER(SEARCH(":1",AC97)),"已验证有效",IF(ISNUMBER(SEARCH(":3",AC97)),"验证不确定",IF(ISNUMBER(SEARCH(":0",AC97)),"接口未能检测",IF(ISNUMBER(SEARCH(":2",AC97)),"判定无效",IF(V97&lt;&gt;"","官网已确认-未验证","无邮箱")))))</x:f>
        <x:v>已验证有效</x:v>
      </x:c>
      <x:c r="I97" s="30" t="str">
        <x:v>+1 626-279-1268</x:v>
      </x:c>
      <x:c r="J97" s="30" t="str"/>
      <x:c r="K97" s="35" t="n">
        <x:f>ROUND((IF(H97="已验证有效",40,IF(V97&lt;&gt;"",20,0))+IF(ISNUMBER(SEARCH("状态1",Y97)),25,0)+IF(J97&lt;&gt;"",20,0)+IF(AA97&lt;&gt;"",15,0))/100,2)</x:f>
        <x:v>0.65</x:v>
      </x:c>
      <x:c r="L97" s="30" t="str">
        <x:v>待联系</x:v>
      </x:c>
      <x:c r="M97" s="30" t="str"/>
      <x:c r="N97" s="30" t="str">
        <x:v>Blackstone, Massachusetts</x:v>
      </x:c>
      <x:c r="O97" s="30" t="str"/>
      <x:c r="P97" s="30" t="str">
        <x:v>暂无经营范围信息</x:v>
      </x:c>
      <x:c r="Q97" s="32" t="n">
        <x:v>1</x:v>
      </x:c>
      <x:c r="R97" s="32" t="n">
        <x:v>819</x:v>
      </x:c>
      <x:c r="S97" s="33" t="n">
        <x:v>0.0012</x:v>
      </x:c>
      <x:c r="T97" s="34" t="n">
        <x:v>45736.666666666664</x:v>
      </x:c>
      <x:c r="U97" s="30" t="str">
        <x:v>customerservice@hoyashipping.com</x:v>
      </x:c>
      <x:c r="V97" s="30" t="str"/>
      <x:c r="W97" s="30" t="str">
        <x:v>+1 626-279-1268; 6262791268</x:v>
      </x:c>
      <x:c r="X97" s="30" t="str"/>
      <x:c r="Y97" s="30" t="str">
        <x:v>+1 626-279-1268:状态1/类型3/WhatsApp2; 6262791268:状态2/类型0/WhatsApp2</x:v>
      </x:c>
      <x:c r="Z97" s="30" t="str"/>
      <x:c r="AA97" s="30" t="str"/>
      <x:c r="AB97" s="30" t="str"/>
      <x:c r="AC97" s="30" t="str">
        <x:v>customerservice@hoyashipping.com:1</x:v>
      </x:c>
      <x:c r="AD97" s="30" t="str">
        <x:v>塑料桶</x:v>
      </x:c>
      <x:c r="AE97" s="30" t="str">
        <x:v>塑料；Bucket</x:v>
      </x:c>
      <x:c r="AF97" s="30" t="str">
        <x:v>PLASTIC BUCKET</x:v>
      </x:c>
      <x:c r="AG97" s="30" t="str">
        <x:v>塑料桶；Plastic container；Plastic tub；Plastic bin；Plastic can</x:v>
      </x:c>
      <x:c r="AH97" s="30" t="str">
        <x:v>塑料树脂；Petrochemicals；聚合物；添加剂；Plastic granules</x:v>
      </x:c>
      <x:c r="AI97" s="30" t="str">
        <x:v>Home storage；Industrial storage；Agricultural use；Construction use；Cleaning supplies</x:v>
      </x:c>
      <x:c r="AJ97" s="30" t="str">
        <x:v>塑料桶</x:v>
      </x:c>
      <x:c r="AK97" s="30" t="str">
        <x:v>expansion-search-plastic-bucket-page-02</x:v>
      </x:c>
      <x:c r="AL97" s="30" t="str">
        <x:v>UpKuajing customs company contact API</x:v>
      </x:c>
      <x:c r="AM97" s="30" t="str"/>
      <x:c r="AN97" s="30" t="str"/>
      <x:c r="AO97" s="34" t="n">
        <x:v>46220</x:v>
      </x:c>
    </x:row>
    <x:row r="98" ht="44" customHeight="1">
      <x:c r="A98" s="30" t="str">
        <x:v>API联系方式已获取</x:v>
      </x:c>
      <x:c r="B98" s="30" t="str">
        <x:v>高-欧美</x:v>
      </x:c>
      <x:c r="C98" s="30" t="str">
        <x:v>塑料桶</x:v>
      </x:c>
      <x:c r="D98" s="31" t="str">
        <x:v>71428160</x:v>
      </x:c>
      <x:c r="E98" s="30" t="str">
        <x:v>IWIN GROUP CORP</x:v>
      </x:c>
      <x:c r="F98" s="30" t="str">
        <x:v>美国</x:v>
      </x:c>
      <x:c r="G98" s="30" t="str">
        <x:v>op@iwinlogistics.com</x:v>
      </x:c>
      <x:c r="H98" s="30" t="str">
        <x:f>IF(ISNUMBER(SEARCH(":1",AC98)),"已验证有效",IF(ISNUMBER(SEARCH(":3",AC98)),"验证不确定",IF(ISNUMBER(SEARCH(":0",AC98)),"接口未能检测",IF(ISNUMBER(SEARCH(":2",AC98)),"判定无效",IF(V98&lt;&gt;"","官网已确认-未验证","无邮箱")))))</x:f>
        <x:v>接口未能检测</x:v>
      </x:c>
      <x:c r="I98" s="30" t="str">
        <x:v>+1 562-229-9898</x:v>
      </x:c>
      <x:c r="J98" s="30" t="str"/>
      <x:c r="K98" s="35" t="n">
        <x:f>ROUND((IF(H98="已验证有效",40,IF(V98&lt;&gt;"",20,0))+IF(ISNUMBER(SEARCH("状态1",Y98)),25,0)+IF(J98&lt;&gt;"",20,0)+IF(AA98&lt;&gt;"",15,0))/100,2)</x:f>
        <x:v>0.25</x:v>
      </x:c>
      <x:c r="L98" s="30" t="str">
        <x:v>待联系</x:v>
      </x:c>
      <x:c r="M98" s="30" t="str"/>
      <x:c r="N98" s="30" t="str">
        <x:v>La Mirada, California</x:v>
      </x:c>
      <x:c r="O98" s="30" t="str"/>
      <x:c r="P98" s="30" t="str">
        <x:v>暂无经营范围信息</x:v>
      </x:c>
      <x:c r="Q98" s="32" t="n">
        <x:v>1</x:v>
      </x:c>
      <x:c r="R98" s="32" t="n">
        <x:v>3877</x:v>
      </x:c>
      <x:c r="S98" s="33" t="n">
        <x:v>0.0003</x:v>
      </x:c>
      <x:c r="T98" s="34" t="n">
        <x:v>46151.666666666664</x:v>
      </x:c>
      <x:c r="U98" s="30" t="str">
        <x:v>op@iwinlogistics.com</x:v>
      </x:c>
      <x:c r="V98" s="30" t="str"/>
      <x:c r="W98" s="30" t="str">
        <x:v>+1 562-229-9898; 5622299898; 8887074876</x:v>
      </x:c>
      <x:c r="X98" s="30" t="str"/>
      <x:c r="Y98" s="30" t="str">
        <x:v>+1 562-229-9898:状态1/类型3/WhatsApp2; 5622299898:状态2/类型0/WhatsApp2; 8887074876:状态2/类型0/WhatsApp0</x:v>
      </x:c>
      <x:c r="Z98" s="30" t="str"/>
      <x:c r="AA98" s="30" t="str"/>
      <x:c r="AB98" s="30" t="str"/>
      <x:c r="AC98" s="30" t="str">
        <x:v>op@iwinlogistics.com:0</x:v>
      </x:c>
      <x:c r="AD98" s="30" t="str"/>
      <x:c r="AE98" s="30" t="str"/>
      <x:c r="AF98" s="30" t="str">
        <x:v>PLASTIC BUCKET THIS SHIPMENT CONTAINS NO SOLID WOOD PACKING MATERIAL</x:v>
      </x:c>
      <x:c r="AG98" s="30" t="str"/>
      <x:c r="AH98" s="30" t="str"/>
      <x:c r="AI98" s="30" t="str"/>
      <x:c r="AJ98" s="30" t="str">
        <x:v>塑料桶</x:v>
      </x:c>
      <x:c r="AK98" s="30" t="str">
        <x:v>expansion-search-plastic-bucket-page-02</x:v>
      </x:c>
      <x:c r="AL98" s="30" t="str">
        <x:v>UpKuajing customs company contact API</x:v>
      </x:c>
      <x:c r="AM98" s="30" t="str"/>
      <x:c r="AN98" s="30" t="str"/>
      <x:c r="AO98" s="34" t="n">
        <x:v>46220</x:v>
      </x:c>
    </x:row>
    <x:row r="99" ht="44" customHeight="1">
      <x:c r="A99" s="30" t="str">
        <x:v>API联系方式已获取</x:v>
      </x:c>
      <x:c r="B99" s="30" t="str">
        <x:v>高-欧美</x:v>
      </x:c>
      <x:c r="C99" s="30" t="str">
        <x:v>羊毛刷</x:v>
      </x:c>
      <x:c r="D99" s="31" t="str">
        <x:v>17518511</x:v>
      </x:c>
      <x:c r="E99" s="30" t="str">
        <x:v>jmd all star imports andexports inc.</x:v>
      </x:c>
      <x:c r="F99" s="30" t="str">
        <x:v>美国</x:v>
      </x:c>
      <x:c r="G99" s="30" t="str">
        <x:v>jmdallstar@verizon.net</x:v>
      </x:c>
      <x:c r="H99" s="30" t="str">
        <x:f>IF(ISNUMBER(SEARCH(":1",AC99)),"已验证有效",IF(ISNUMBER(SEARCH(":3",AC99)),"验证不确定",IF(ISNUMBER(SEARCH(":0",AC99)),"接口未能检测",IF(ISNUMBER(SEARCH(":2",AC99)),"判定无效",IF(V99&lt;&gt;"","官网已确认-未验证","无邮箱")))))</x:f>
        <x:v>接口未能检测</x:v>
      </x:c>
      <x:c r="I99" s="30" t="str">
        <x:v>+1 732-287-0123</x:v>
      </x:c>
      <x:c r="J99" s="30" t="str">
        <x:v>http://www.allstarproduct.com</x:v>
      </x:c>
      <x:c r="K99" s="35" t="n">
        <x:f>ROUND((IF(H99="已验证有效",40,IF(V99&lt;&gt;"",20,0))+IF(ISNUMBER(SEARCH("状态1",Y99)),25,0)+IF(J99&lt;&gt;"",20,0)+IF(AA99&lt;&gt;"",15,0))/100,2)</x:f>
        <x:v>0.45</x:v>
      </x:c>
      <x:c r="L99" s="30" t="str">
        <x:v>待联系</x:v>
      </x:c>
      <x:c r="M99" s="30" t="str"/>
      <x:c r="N99" s="30" t="str">
        <x:v>98 distribution blvdedison,nj-08817</x:v>
      </x:c>
      <x:c r="O99" s="30" t="str"/>
      <x:c r="P99" s="30" t="str">
        <x:v>木制火柴，纸盒，婴儿油，制成，安全火柴，木制，塑料家居用品，厨房火柴，400，155，烧烤</x:v>
      </x:c>
      <x:c r="Q99" s="32" t="n">
        <x:v>1</x:v>
      </x:c>
      <x:c r="R99" s="32" t="n">
        <x:v>4164</x:v>
      </x:c>
      <x:c r="S99" s="33" t="n">
        <x:v>0.0002</x:v>
      </x:c>
      <x:c r="T99" s="34" t="n">
        <x:v>45858.666666666664</x:v>
      </x:c>
      <x:c r="U99" s="30" t="str">
        <x:v>jmdallstar@verizon.net; puneet@allstarproduct.com</x:v>
      </x:c>
      <x:c r="V99" s="30" t="str"/>
      <x:c r="W99" s="30" t="str">
        <x:v>+1 732-287-0123</x:v>
      </x:c>
      <x:c r="X99" s="30" t="str"/>
      <x:c r="Y99" s="30" t="str">
        <x:v>+1 732-287-0123:状态1/类型3/WhatsApp2</x:v>
      </x:c>
      <x:c r="Z99" s="30" t="str"/>
      <x:c r="AA99" s="30" t="str"/>
      <x:c r="AB99" s="30" t="str"/>
      <x:c r="AC99" s="30" t="str">
        <x:v>jmdallstar@verizon.net:0; puneet@allstarproduct.com:0</x:v>
      </x:c>
      <x:c r="AD99" s="30" t="str">
        <x:v>刷子；Funnel；Shoehorn；Glue Stick；Glue Gun；Steel Wool Pad；Repair Kit</x:v>
      </x:c>
      <x:c r="AE99" s="30" t="str">
        <x:v>刷子；Funnel；Shoehorn；Glue Stick；Glue Gun；Steel Wool Pad；Repair Kit</x:v>
      </x:c>
      <x:c r="AF99" s="30" t="str">
        <x:v>BRUSH FUNNEL SHOEHORN GLUESTICK GLUE GUN STEEL WOOL PAD REPAIR KIT SHIPPER S LOAD COUNT &amp; SEALED THIS SHIPMENT DOES NOT CONTAIN ANY SO LID WOOD PACKING MATERIAL&lt;br/&gt;</x:v>
      </x:c>
      <x:c r="AG99" s="30" t="str">
        <x:v>Broom；Spout；Foot horn；Adhesive stick；Adhesive gun；Steel wool brush；Maintenance kit</x:v>
      </x:c>
      <x:c r="AH99" s="30" t="str">
        <x:v>塑料；金属；Wood；胶粘剂；Steel wool</x:v>
      </x:c>
      <x:c r="AI99" s="30" t="str">
        <x:v>Home cleaning；Kitchen use；Personal grooming；Craft projects；Home repair</x:v>
      </x:c>
      <x:c r="AJ99" s="30" t="str">
        <x:v>羊毛刷</x:v>
      </x:c>
      <x:c r="AK99" s="30" t="str">
        <x:v>expansion-search-wool-brush-page-03</x:v>
      </x:c>
      <x:c r="AL99" s="30" t="str">
        <x:v>UpKuajing customs company contact API</x:v>
      </x:c>
      <x:c r="AM99" s="30" t="str"/>
      <x:c r="AN99" s="30" t="str"/>
      <x:c r="AO99" s="34" t="n">
        <x:v>46220</x:v>
      </x:c>
    </x:row>
    <x:row r="100" ht="44" customHeight="1">
      <x:c r="A100" s="30" t="str">
        <x:v>API联系方式已获取</x:v>
      </x:c>
      <x:c r="B100" s="30" t="str">
        <x:v>高-欧美</x:v>
      </x:c>
      <x:c r="C100" s="30" t="str">
        <x:v>PVC护角条</x:v>
      </x:c>
      <x:c r="D100" s="31" t="str">
        <x:v>71515429</x:v>
      </x:c>
      <x:c r="E100" s="30" t="str">
        <x:v>JUPITER INTERNATIONAL (USA) INC</x:v>
      </x:c>
      <x:c r="F100" s="30" t="str">
        <x:v>加拿大</x:v>
      </x:c>
      <x:c r="G100" s="30" t="str">
        <x:v>imp@jupiterintlus.com</x:v>
      </x:c>
      <x:c r="H100" s="30" t="str">
        <x:f>IF(ISNUMBER(SEARCH(":1",AC100)),"已验证有效",IF(ISNUMBER(SEARCH(":3",AC100)),"验证不确定",IF(ISNUMBER(SEARCH(":0",AC100)),"接口未能检测",IF(ISNUMBER(SEARCH(":2",AC100)),"判定无效",IF(V100&lt;&gt;"","官网已确认-未验证","无邮箱")))))</x:f>
        <x:v>接口未能检测</x:v>
      </x:c>
      <x:c r="I100" s="30" t="str">
        <x:v>+1 626-609-1566</x:v>
      </x:c>
      <x:c r="J100" s="30" t="str"/>
      <x:c r="K100" s="35" t="n">
        <x:f>ROUND((IF(H100="已验证有效",40,IF(V100&lt;&gt;"",20,0))+IF(ISNUMBER(SEARCH("状态1",Y100)),25,0)+IF(J100&lt;&gt;"",20,0)+IF(AA100&lt;&gt;"",15,0))/100,2)</x:f>
        <x:v>0.25</x:v>
      </x:c>
      <x:c r="L100" s="30" t="str">
        <x:v>待联系</x:v>
      </x:c>
      <x:c r="M100" s="30" t="str"/>
      <x:c r="N100" s="30" t="str">
        <x:v>Ontario, California</x:v>
      </x:c>
      <x:c r="O100" s="30" t="str"/>
      <x:c r="P100" s="30" t="str">
        <x:v>暂无经营范围信息</x:v>
      </x:c>
      <x:c r="Q100" s="32" t="n">
        <x:v>1</x:v>
      </x:c>
      <x:c r="R100" s="32" t="n">
        <x:v>21559</x:v>
      </x:c>
      <x:c r="S100" s="33" t="n">
        <x:v>0</x:v>
      </x:c>
      <x:c r="T100" s="34" t="n">
        <x:v>45896.666666666664</x:v>
      </x:c>
      <x:c r="U100" s="30" t="str">
        <x:v>imp@jupiterintlus.com</x:v>
      </x:c>
      <x:c r="V100" s="30" t="str"/>
      <x:c r="W100" s="30" t="str">
        <x:v>6266091566; +1 626-609-1566</x:v>
      </x:c>
      <x:c r="X100" s="30" t="str"/>
      <x:c r="Y100" s="30" t="str">
        <x:v>6266091566:状态2/类型0/WhatsApp0; +1 626-609-1566:状态1/类型3/WhatsApp0</x:v>
      </x:c>
      <x:c r="Z100" s="30" t="str"/>
      <x:c r="AA100" s="30" t="str"/>
      <x:c r="AB100" s="30" t="str"/>
      <x:c r="AC100" s="30" t="str">
        <x:v>imp@jupiterintlus.com:0</x:v>
      </x:c>
      <x:c r="AD100" s="30" t="str"/>
      <x:c r="AE100" s="30" t="str"/>
      <x:c r="AF100" s="30" t="str">
        <x:v>PAPER TAPES GLASS FIBER TAPE PVC CORNER BEAD</x:v>
      </x:c>
      <x:c r="AG100" s="30" t="str"/>
      <x:c r="AH100" s="30" t="str"/>
      <x:c r="AI100" s="30" t="str"/>
      <x:c r="AJ100" s="30" t="str">
        <x:v>PVC护角条</x:v>
      </x:c>
      <x:c r="AK100" s="30" t="str">
        <x:v>expansion-search-pvc-corner-bead-page-01</x:v>
      </x:c>
      <x:c r="AL100" s="30" t="str">
        <x:v>UpKuajing customs company contact API</x:v>
      </x:c>
      <x:c r="AM100" s="30" t="str"/>
      <x:c r="AN100" s="30" t="str"/>
      <x:c r="AO100" s="34" t="n">
        <x:v>46220</x:v>
      </x:c>
    </x:row>
    <x:row r="101" ht="44" customHeight="1">
      <x:c r="A101" s="30" t="str">
        <x:v>API联系方式已获取</x:v>
      </x:c>
      <x:c r="B101" s="30" t="str">
        <x:v>高-欧美</x:v>
      </x:c>
      <x:c r="C101" s="30" t="str">
        <x:v>猪毛刷；PVC护角条</x:v>
      </x:c>
      <x:c r="D101" s="31" t="str">
        <x:v>71437269</x:v>
      </x:c>
      <x:c r="E101" s="30" t="str">
        <x:v>LACINOS SPEEDCARGO CORP.</x:v>
      </x:c>
      <x:c r="F101" s="30" t="str">
        <x:v>美国</x:v>
      </x:c>
      <x:c r="G101" s="30" t="str">
        <x:v>cs01@lacinos.com</x:v>
      </x:c>
      <x:c r="H101" s="30" t="str">
        <x:f>IF(ISNUMBER(SEARCH(":1",AC101)),"已验证有效",IF(ISNUMBER(SEARCH(":3",AC101)),"验证不确定",IF(ISNUMBER(SEARCH(":0",AC101)),"接口未能检测",IF(ISNUMBER(SEARCH(":2",AC101)),"判定无效",IF(V101&lt;&gt;"","官网已确认-未验证","无邮箱")))))</x:f>
        <x:v>已验证有效</x:v>
      </x:c>
      <x:c r="I101" s="30" t="str">
        <x:v>+1 626-532-8283</x:v>
      </x:c>
      <x:c r="J101" s="30" t="str"/>
      <x:c r="K101" s="35" t="n">
        <x:f>ROUND((IF(H101="已验证有效",40,IF(V101&lt;&gt;"",20,0))+IF(ISNUMBER(SEARCH("状态1",Y101)),25,0)+IF(J101&lt;&gt;"",20,0)+IF(AA101&lt;&gt;"",15,0))/100,2)</x:f>
        <x:v>0.65</x:v>
      </x:c>
      <x:c r="L101" s="30" t="str">
        <x:v>待联系</x:v>
      </x:c>
      <x:c r="M101" s="30" t="str"/>
      <x:c r="N101" s="30" t="str">
        <x:v>El Monte, California</x:v>
      </x:c>
      <x:c r="O101" s="30" t="str"/>
      <x:c r="P101" s="30" t="str">
        <x:v>暂无经营范围信息</x:v>
      </x:c>
      <x:c r="Q101" s="32" t="n">
        <x:v>1</x:v>
      </x:c>
      <x:c r="R101" s="32" t="n">
        <x:v>49767</x:v>
      </x:c>
      <x:c r="S101" s="33" t="n">
        <x:v>0</x:v>
      </x:c>
      <x:c r="T101" s="34" t="n">
        <x:v>46023.666666666664</x:v>
      </x:c>
      <x:c r="U101" s="30" t="str">
        <x:v>cs01@lacinos.com</x:v>
      </x:c>
      <x:c r="V101" s="30" t="str"/>
      <x:c r="W101" s="30" t="str">
        <x:v>6265328283; +1 626-532-8283</x:v>
      </x:c>
      <x:c r="X101" s="30" t="str"/>
      <x:c r="Y101" s="30" t="str">
        <x:v>6265328283:状态2/类型0/WhatsApp0; +1 626-532-8283:状态1/类型3/WhatsApp0</x:v>
      </x:c>
      <x:c r="Z101" s="30" t="str"/>
      <x:c r="AA101" s="30" t="str"/>
      <x:c r="AB101" s="30" t="str"/>
      <x:c r="AC101" s="30" t="str">
        <x:v>cs01@lacinos.com:1</x:v>
      </x:c>
      <x:c r="AD101" s="30" t="str"/>
      <x:c r="AE101" s="30" t="str"/>
      <x:c r="AF101" s="30" t="str">
        <x:v>MONOFILAMENT BRUSH FERRULE PLASTIC BRUSH HANDLE ARTISTS' BRUSH HEAD ARTISTS' BRUSH BOILED HOG BRISTLE PAINT BRUSH HEAD PLASTIC P...; PETG CORNER GUARD(PETG) PVC SOFT CORNER GUARD(PVC) PO:92 02498 -TEL:0574-87096668 - FAX:0574-87341172</x:v>
      </x:c>
      <x:c r="AG101" s="30" t="str"/>
      <x:c r="AH101" s="30" t="str"/>
      <x:c r="AI101" s="30" t="str"/>
      <x:c r="AJ101" s="30" t="str">
        <x:v>猪毛刷；PVC护角条</x:v>
      </x:c>
      <x:c r="AK101" s="30" t="str">
        <x:v>expansion-search-hog-bristle-brush-page-01; expansion-search-pvc-corner-guard-page-01</x:v>
      </x:c>
      <x:c r="AL101" s="30" t="str">
        <x:v>UpKuajing customs company contact API</x:v>
      </x:c>
      <x:c r="AM101" s="30" t="str"/>
      <x:c r="AN101" s="30" t="str"/>
      <x:c r="AO101" s="34" t="n">
        <x:v>46220</x:v>
      </x:c>
    </x:row>
    <x:row r="102" ht="44" customHeight="1">
      <x:c r="A102" s="30" t="str">
        <x:v>API联系方式已获取</x:v>
      </x:c>
      <x:c r="B102" s="30" t="str">
        <x:v>高-欧美</x:v>
      </x:c>
      <x:c r="C102" s="30" t="str">
        <x:v>PVC护角条</x:v>
      </x:c>
      <x:c r="D102" s="31" t="str">
        <x:v>71457329</x:v>
      </x:c>
      <x:c r="E102" s="30" t="str">
        <x:v>OEC GROUP CHICAGO</x:v>
      </x:c>
      <x:c r="F102" s="30" t="str">
        <x:v>美国</x:v>
      </x:c>
      <x:c r="G102" s="30" t="str">
        <x:v>ocnimp.ord@oecgroup.com</x:v>
      </x:c>
      <x:c r="H102" s="30" t="str">
        <x:f>IF(ISNUMBER(SEARCH(":1",AC102)),"已验证有效",IF(ISNUMBER(SEARCH(":3",AC102)),"验证不确定",IF(ISNUMBER(SEARCH(":0",AC102)),"接口未能检测",IF(ISNUMBER(SEARCH(":2",AC102)),"判定无效",IF(V102&lt;&gt;"","官网已确认-未验证","无邮箱")))))</x:f>
        <x:v>已验证有效</x:v>
      </x:c>
      <x:c r="I102" s="30" t="str">
        <x:v>+1 630-625-7900</x:v>
      </x:c>
      <x:c r="J102" s="30" t="str"/>
      <x:c r="K102" s="35" t="n">
        <x:f>ROUND((IF(H102="已验证有效",40,IF(V102&lt;&gt;"",20,0))+IF(ISNUMBER(SEARCH("状态1",Y102)),25,0)+IF(J102&lt;&gt;"",20,0)+IF(AA102&lt;&gt;"",15,0))/100,2)</x:f>
        <x:v>0.65</x:v>
      </x:c>
      <x:c r="L102" s="30" t="str">
        <x:v>待联系</x:v>
      </x:c>
      <x:c r="M102" s="30" t="str"/>
      <x:c r="N102" s="30" t="str">
        <x:v>Itasca, Illinois</x:v>
      </x:c>
      <x:c r="O102" s="30" t="str"/>
      <x:c r="P102" s="30" t="str">
        <x:v>暂无经营范围信息</x:v>
      </x:c>
      <x:c r="Q102" s="32" t="n">
        <x:v>1</x:v>
      </x:c>
      <x:c r="R102" s="32" t="n">
        <x:v>66371</x:v>
      </x:c>
      <x:c r="S102" s="33" t="n">
        <x:v>0</x:v>
      </x:c>
      <x:c r="T102" s="34" t="n">
        <x:v>46208.666666666664</x:v>
      </x:c>
      <x:c r="U102" s="30" t="str">
        <x:v>ocnimp.ord@oecgroup.com</x:v>
      </x:c>
      <x:c r="V102" s="30" t="str"/>
      <x:c r="W102" s="30" t="str">
        <x:v>6306257900; 6306257901; +1 630-625-7900</x:v>
      </x:c>
      <x:c r="X102" s="30" t="str"/>
      <x:c r="Y102" s="30" t="str">
        <x:v>6306257900:状态2/类型0/WhatsApp2; 6306257901:状态2/类型0/WhatsApp0; +1 630-625-7900:状态1/类型3/WhatsApp2</x:v>
      </x:c>
      <x:c r="Z102" s="30" t="str"/>
      <x:c r="AA102" s="30" t="str"/>
      <x:c r="AB102" s="30" t="str"/>
      <x:c r="AC102" s="30" t="str">
        <x:v>ocnimp.ord@oecgroup.com:1</x:v>
      </x:c>
      <x:c r="AD102" s="30" t="str"/>
      <x:c r="AE102" s="30" t="str"/>
      <x:c r="AF102" s="30" t="str">
        <x:v>HOUSEHOLD GOODS (PACKAGING TAPE DISPENSER) HA IR BRUSH SCREWS FURNITURE HANDLE STEEL HANDLE TRANSPARENT PVC CORNER GUARD HINGE W...</x:v>
      </x:c>
      <x:c r="AG102" s="30" t="str"/>
      <x:c r="AH102" s="30" t="str"/>
      <x:c r="AI102" s="30" t="str"/>
      <x:c r="AJ102" s="30" t="str">
        <x:v>PVC护角条</x:v>
      </x:c>
      <x:c r="AK102" s="30" t="str">
        <x:v>expansion-search-pvc-corner-guard-page-01</x:v>
      </x:c>
      <x:c r="AL102" s="30" t="str">
        <x:v>UpKuajing customs company contact API</x:v>
      </x:c>
      <x:c r="AM102" s="30" t="str"/>
      <x:c r="AN102" s="30" t="str"/>
      <x:c r="AO102" s="34" t="n">
        <x:v>46220</x:v>
      </x:c>
    </x:row>
    <x:row r="103" ht="44" customHeight="1">
      <x:c r="A103" s="30" t="str">
        <x:v>API联系方式已获取</x:v>
      </x:c>
      <x:c r="B103" s="30" t="str">
        <x:v>高-欧美</x:v>
      </x:c>
      <x:c r="C103" s="30" t="str">
        <x:v>猪毛刷</x:v>
      </x:c>
      <x:c r="D103" s="31" t="str">
        <x:v>215261</x:v>
      </x:c>
      <x:c r="E103" s="30" t="str">
        <x:v>orgill inc.</x:v>
      </x:c>
      <x:c r="F103" s="30" t="str">
        <x:v>美国</x:v>
      </x:c>
      <x:c r="G103" s="30" t="str">
        <x:v>pwalker@orgill.com</x:v>
      </x:c>
      <x:c r="H103" s="30" t="str">
        <x:f>IF(ISNUMBER(SEARCH(":1",AC103)),"已验证有效",IF(ISNUMBER(SEARCH(":3",AC103)),"验证不确定",IF(ISNUMBER(SEARCH(":0",AC103)),"接口未能检测",IF(ISNUMBER(SEARCH(":2",AC103)),"判定无效",IF(V103&lt;&gt;"","官网已确认-未验证","无邮箱")))))</x:f>
        <x:v>已验证有效</x:v>
      </x:c>
      <x:c r="I103" s="30" t="str">
        <x:v>+1 901-754-8850</x:v>
      </x:c>
      <x:c r="J103" s="30" t="str">
        <x:v>http://www.orgill.com</x:v>
      </x:c>
      <x:c r="K103" s="35" t="n">
        <x:f>ROUND((IF(H103="已验证有效",40,IF(V103&lt;&gt;"",20,0))+IF(ISNUMBER(SEARCH("状态1",Y103)),25,0)+IF(J103&lt;&gt;"",20,0)+IF(AA103&lt;&gt;"",15,0))/100,2)</x:f>
        <x:v>0.85</x:v>
      </x:c>
      <x:c r="L103" s="30" t="str">
        <x:v>待联系</x:v>
      </x:c>
      <x:c r="M103" s="30" t="str"/>
      <x:c r="N103" s="30" t="str">
        <x:v>3742 tyndale dr. memphis, tn 38125</x:v>
      </x:c>
      <x:c r="O103" s="30" t="str"/>
      <x:c r="P103" s="30" t="str">
        <x:v>不锈钢炸锅，50风扇，休闲套装，吧台套装，手臂，柳条，钻头，手动工具，158，浪涌，板条，14，电源线，旋塞，电动，挂，喷雾器，移动毯</x:v>
      </x:c>
      <x:c r="Q103" s="32" t="n">
        <x:v>1</x:v>
      </x:c>
      <x:c r="R103" s="32" t="n">
        <x:v>21032</x:v>
      </x:c>
      <x:c r="S103" s="33" t="n">
        <x:v>0</x:v>
      </x:c>
      <x:c r="T103" s="34" t="n">
        <x:v>45761.666666666664</x:v>
      </x:c>
      <x:c r="U103" s="30" t="str">
        <x:v>jcardwell@orgill.com; pwalker@orgill.com</x:v>
      </x:c>
      <x:c r="V103" s="30" t="str"/>
      <x:c r="W103" s="30" t="str">
        <x:v>+1 901-754-8850; +1 800-347-2860</x:v>
      </x:c>
      <x:c r="X103" s="30" t="str"/>
      <x:c r="Y103" s="30" t="str">
        <x:v>+1 901-754-8850:状态1/类型3/WhatsApp2; +1 800-347-2860:状态1/类型3/WhatsApp2</x:v>
      </x:c>
      <x:c r="Z103" s="30" t="str"/>
      <x:c r="AA103" s="30" t="str"/>
      <x:c r="AB103" s="30" t="str"/>
      <x:c r="AC103" s="30" t="str">
        <x:v>jcardwell@orgill.com:0; pwalker@orgill.com:1</x:v>
      </x:c>
      <x:c r="AD103" s="30" t="str">
        <x:v>油漆刷</x:v>
      </x:c>
      <x:c r="AE103" s="30" t="str">
        <x:v>油漆刷；天然猪鬃</x:v>
      </x:c>
      <x:c r="AF103" s="30" t="str">
        <x:v>OF PAINT BRUSHES. NATURAL HOG BRISTLES PAINT BRUSHES AS PER APPLICANT S&lt;br/&gt;</x:v>
      </x:c>
      <x:c r="AG103" s="30" t="str">
        <x:v>油漆刷；Brush for Painting；油漆刷；Hog Bristle Brush；Art Brush</x:v>
      </x:c>
      <x:c r="AH103" s="30" t="str">
        <x:v>猪鬃；Wood；金属；塑料；Paint</x:v>
      </x:c>
      <x:c r="AI103" s="30" t="str">
        <x:v>Wall Painting；Furniture Painting；Automobile Painting；Artwork；手工艺</x:v>
      </x:c>
      <x:c r="AJ103" s="30" t="str">
        <x:v>猪毛刷</x:v>
      </x:c>
      <x:c r="AK103" s="30" t="str">
        <x:v>expansion-search-hog-bristle-brush-page-01</x:v>
      </x:c>
      <x:c r="AL103" s="30" t="str">
        <x:v>UpKuajing customs company contact API</x:v>
      </x:c>
      <x:c r="AM103" s="30" t="str"/>
      <x:c r="AN103" s="30" t="str"/>
      <x:c r="AO103" s="34" t="n">
        <x:v>46220</x:v>
      </x:c>
    </x:row>
    <x:row r="104" ht="44" customHeight="1">
      <x:c r="A104" s="30" t="str">
        <x:v>API联系方式已获取</x:v>
      </x:c>
      <x:c r="B104" s="30" t="str">
        <x:v>高-欧美</x:v>
      </x:c>
      <x:c r="C104" s="30" t="str">
        <x:v>PVC护角条</x:v>
      </x:c>
      <x:c r="D104" s="31" t="str">
        <x:v>31689692</x:v>
      </x:c>
      <x:c r="E104" s="30" t="str">
        <x:v>PROGRESSIVE PLASTERING INC</x:v>
      </x:c>
      <x:c r="F104" s="30" t="str">
        <x:v>美国</x:v>
      </x:c>
      <x:c r="G104" s="30" t="str">
        <x:v>your@email.com</x:v>
      </x:c>
      <x:c r="H104" s="30" t="str">
        <x:f>IF(ISNUMBER(SEARCH(":1",AC104)),"已验证有效",IF(ISNUMBER(SEARCH(":3",AC104)),"验证不确定",IF(ISNUMBER(SEARCH(":0",AC104)),"接口未能检测",IF(ISNUMBER(SEARCH(":2",AC104)),"判定无效",IF(V104&lt;&gt;"","官网已确认-未验证","无邮箱")))))</x:f>
        <x:v>接口未能检测</x:v>
      </x:c>
      <x:c r="I104" s="30" t="str">
        <x:v>+1 954-596-1400</x:v>
      </x:c>
      <x:c r="J104" s="30" t="str">
        <x:v>www.progressiveplasteringfl.com</x:v>
      </x:c>
      <x:c r="K104" s="35" t="n">
        <x:f>ROUND((IF(H104="已验证有效",40,IF(V104&lt;&gt;"",20,0))+IF(ISNUMBER(SEARCH("状态1",Y104)),25,0)+IF(J104&lt;&gt;"",20,0)+IF(AA104&lt;&gt;"",15,0))/100,2)</x:f>
        <x:v>0.6</x:v>
      </x:c>
      <x:c r="L104" s="30" t="str">
        <x:v>待联系</x:v>
      </x:c>
      <x:c r="M104" s="30" t="str"/>
      <x:c r="N104" s="30" t="str">
        <x:v>3428 SW 15TH ST</x:v>
      </x:c>
      <x:c r="O104" s="30" t="str"/>
      <x:c r="P104" s="30" t="str">
        <x:v>暂无经营范围信息</x:v>
      </x:c>
      <x:c r="Q104" s="32" t="n">
        <x:v>1</x:v>
      </x:c>
      <x:c r="R104" s="32" t="n">
        <x:v>4</x:v>
      </x:c>
      <x:c r="S104" s="33" t="n">
        <x:v>0.25</x:v>
      </x:c>
      <x:c r="T104" s="34" t="n">
        <x:v>45537.666666666664</x:v>
      </x:c>
      <x:c r="U104" s="30" t="str">
        <x:v>your@email.com</x:v>
      </x:c>
      <x:c r="V104" s="30" t="str"/>
      <x:c r="W104" s="30" t="str">
        <x:v>9545961400; +1 954-596-1400</x:v>
      </x:c>
      <x:c r="X104" s="30" t="str"/>
      <x:c r="Y104" s="30" t="str">
        <x:v>9545961400:状态2/类型0/WhatsApp2; +1 954-596-1400:状态1/类型3/WhatsApp2</x:v>
      </x:c>
      <x:c r="Z104" s="30" t="str"/>
      <x:c r="AA104" s="30" t="str">
        <x:v>https://www.facebook.com/pages/Progressive-Plastering/163740903652240</x:v>
      </x:c>
      <x:c r="AB104" s="30" t="str"/>
      <x:c r="AC104" s="30" t="str">
        <x:v>your@email.com:0</x:v>
      </x:c>
      <x:c r="AD104" s="30" t="str"/>
      <x:c r="AE104" s="30" t="str"/>
      <x:c r="AF104" s="30" t="str">
        <x:v>3925900000 PVC CORNER BEAD</x:v>
      </x:c>
      <x:c r="AG104" s="30" t="str"/>
      <x:c r="AH104" s="30" t="str"/>
      <x:c r="AI104" s="30" t="str"/>
      <x:c r="AJ104" s="30" t="str">
        <x:v>PVC护角条</x:v>
      </x:c>
      <x:c r="AK104" s="30" t="str">
        <x:v>expansion-search-pvc-corner-bead-page-01</x:v>
      </x:c>
      <x:c r="AL104" s="30" t="str">
        <x:v>UpKuajing customs company contact API</x:v>
      </x:c>
      <x:c r="AM104" s="30" t="str"/>
      <x:c r="AN104" s="30" t="str"/>
      <x:c r="AO104" s="34" t="n">
        <x:v>46220</x:v>
      </x:c>
    </x:row>
    <x:row r="105" ht="44" customHeight="1">
      <x:c r="A105" s="30" t="str">
        <x:v>API联系方式已获取</x:v>
      </x:c>
      <x:c r="B105" s="30" t="str">
        <x:v>高-欧美</x:v>
      </x:c>
      <x:c r="C105" s="30" t="str">
        <x:v>刷子</x:v>
      </x:c>
      <x:c r="D105" s="31" t="str">
        <x:v>20451256</x:v>
      </x:c>
      <x:c r="E105" s="30" t="str">
        <x:v>PROMAC INTERNATIONAL INC</x:v>
      </x:c>
      <x:c r="F105" s="30" t="str">
        <x:v>美国</x:v>
      </x:c>
      <x:c r="G105" s="30" t="str">
        <x:v>info@promacusa.com</x:v>
      </x:c>
      <x:c r="H105" s="30" t="str">
        <x:f>IF(ISNUMBER(SEARCH(":1",AC105)),"已验证有效",IF(ISNUMBER(SEARCH(":3",AC105)),"验证不确定",IF(ISNUMBER(SEARCH(":0",AC105)),"接口未能检测",IF(ISNUMBER(SEARCH(":2",AC105)),"判定无效",IF(V105&lt;&gt;"","官网已确认-未验证","无邮箱")))))</x:f>
        <x:v>已验证有效</x:v>
      </x:c>
      <x:c r="I105" s="30" t="str">
        <x:v>+1 440-967-2040</x:v>
      </x:c>
      <x:c r="J105" s="30" t="str">
        <x:v>www.promacusa.com</x:v>
      </x:c>
      <x:c r="K105" s="35" t="n">
        <x:f>ROUND((IF(H105="已验证有效",40,IF(V105&lt;&gt;"",20,0))+IF(ISNUMBER(SEARCH("状态1",Y105)),25,0)+IF(J105&lt;&gt;"",20,0)+IF(AA105&lt;&gt;"",15,0))/100,2)</x:f>
        <x:v>0.85</x:v>
      </x:c>
      <x:c r="L105" s="30" t="str">
        <x:v>待联系</x:v>
      </x:c>
      <x:c r="M105" s="30" t="str"/>
      <x:c r="N105" s="30" t="str">
        <x:v>1091 sunnyside rd vermilion oh 44089 united states</x:v>
      </x:c>
      <x:c r="O105" s="30" t="str"/>
      <x:c r="P105" s="30" t="str">
        <x:v>鳕鱼，链条，链条零件，链轮，滚子链条</x:v>
      </x:c>
      <x:c r="Q105" s="32" t="n">
        <x:v>1</x:v>
      </x:c>
      <x:c r="R105" s="32" t="n">
        <x:v>270</x:v>
      </x:c>
      <x:c r="S105" s="33" t="n">
        <x:v>0.0037</x:v>
      </x:c>
      <x:c r="T105" s="34" t="n">
        <x:v>45601.666666666664</x:v>
      </x:c>
      <x:c r="U105" s="30" t="str">
        <x:v>info@promacusa.com</x:v>
      </x:c>
      <x:c r="V105" s="30" t="str"/>
      <x:c r="W105" s="30" t="str">
        <x:v>+1 440-967-2040</x:v>
      </x:c>
      <x:c r="X105" s="30" t="str"/>
      <x:c r="Y105" s="30" t="str">
        <x:v>+1 440-967-2040:状态1/类型3/WhatsApp2</x:v>
      </x:c>
      <x:c r="Z105" s="30" t="str"/>
      <x:c r="AA105" s="30" t="str"/>
      <x:c r="AB105" s="30" t="str"/>
      <x:c r="AC105" s="30" t="str">
        <x:v>info@promacusa.com:1</x:v>
      </x:c>
      <x:c r="AD105" s="30" t="str"/>
      <x:c r="AE105" s="30" t="str"/>
      <x:c r="AF105" s="30" t="str">
        <x:v>SWEAT SCRAPER HORSE WHIP HORSE BRUSH CLEANING KIT</x:v>
      </x:c>
      <x:c r="AG105" s="30" t="str"/>
      <x:c r="AH105" s="30" t="str"/>
      <x:c r="AI105" s="30" t="str"/>
      <x:c r="AJ105" s="30" t="str">
        <x:v>刷子</x:v>
      </x:c>
      <x:c r="AK105" s="30" t="str">
        <x:v>expansion-search-brush-page-07</x:v>
      </x:c>
      <x:c r="AL105" s="30" t="str">
        <x:v>UpKuajing customs company contact API</x:v>
      </x:c>
      <x:c r="AM105" s="30" t="str"/>
      <x:c r="AN105" s="30" t="str"/>
      <x:c r="AO105" s="34" t="n">
        <x:v>46220</x:v>
      </x:c>
    </x:row>
    <x:row r="106" ht="44" customHeight="1">
      <x:c r="A106" s="30" t="str">
        <x:v>API联系方式已获取</x:v>
      </x:c>
      <x:c r="B106" s="30" t="str">
        <x:v>高-欧美</x:v>
      </x:c>
      <x:c r="C106" s="30" t="str">
        <x:v>刷子</x:v>
      </x:c>
      <x:c r="D106" s="31" t="str">
        <x:v>20466557</x:v>
      </x:c>
      <x:c r="E106" s="30" t="str">
        <x:v>PUBLISHER SERVICES INC</x:v>
      </x:c>
      <x:c r="F106" s="30" t="str">
        <x:v>美国</x:v>
      </x:c>
      <x:c r="G106" s="30" t="str">
        <x:v>jepsonr@telusplanet.net</x:v>
      </x:c>
      <x:c r="H106" s="30" t="str">
        <x:f>IF(ISNUMBER(SEARCH(":1",AC106)),"已验证有效",IF(ISNUMBER(SEARCH(":3",AC106)),"验证不确定",IF(ISNUMBER(SEARCH(":0",AC106)),"接口未能检测",IF(ISNUMBER(SEARCH(":2",AC106)),"判定无效",IF(V106&lt;&gt;"","官网已确认-未验证","无邮箱")))))</x:f>
        <x:v>已验证有效</x:v>
      </x:c>
      <x:c r="I106" s="30" t="str">
        <x:v>+1 877-578-4774</x:v>
      </x:c>
      <x:c r="J106" s="30" t="str">
        <x:v>http://www.pubservinc.com/</x:v>
      </x:c>
      <x:c r="K106" s="35" t="n">
        <x:f>ROUND((IF(H106="已验证有效",40,IF(V106&lt;&gt;"",20,0))+IF(ISNUMBER(SEARCH("状态1",Y106)),25,0)+IF(J106&lt;&gt;"",20,0)+IF(AA106&lt;&gt;"",15,0))/100,2)</x:f>
        <x:v>0.85</x:v>
      </x:c>
      <x:c r="L106" s="30" t="str">
        <x:v>待联系</x:v>
      </x:c>
      <x:c r="M106" s="30" t="str"/>
      <x:c r="N106" s="30" t="str">
        <x:v>3095 kingston court3095 kingston court norcross, ga 30071</x:v>
      </x:c>
      <x:c r="O106" s="30" t="str"/>
      <x:c r="P106" s="30" t="str">
        <x:v>木制，巨人，垫子，卡片，计数，包装材料，模型，静电吸附，板，黄铜，焦油，10，家庭，塑料游戏，埃尔维，冻结</x:v>
      </x:c>
      <x:c r="Q106" s="32" t="n">
        <x:v>1</x:v>
      </x:c>
      <x:c r="R106" s="32" t="n">
        <x:v>362</x:v>
      </x:c>
      <x:c r="S106" s="33" t="n">
        <x:v>0.0028000000000000004</x:v>
      </x:c>
      <x:c r="T106" s="34" t="n">
        <x:v>45546.666666666664</x:v>
      </x:c>
      <x:c r="U106" s="30" t="str">
        <x:v>jepsonr@telusplanet.net</x:v>
      </x:c>
      <x:c r="V106" s="30" t="str"/>
      <x:c r="W106" s="30" t="str">
        <x:v>+1 877-578-4774</x:v>
      </x:c>
      <x:c r="X106" s="30" t="str"/>
      <x:c r="Y106" s="30" t="str">
        <x:v>+1 877-578-4774:状态1/类型3/WhatsApp2</x:v>
      </x:c>
      <x:c r="Z106" s="30" t="str"/>
      <x:c r="AA106" s="30" t="str"/>
      <x:c r="AB106" s="30" t="str"/>
      <x:c r="AC106" s="30" t="str">
        <x:v>jepsonr@telusplanet.net:1</x:v>
      </x:c>
      <x:c r="AD106" s="30" t="str"/>
      <x:c r="AE106" s="30" t="str"/>
      <x:c r="AF106" s="30" t="str">
        <x:v>WINDOW BRUSH RIVING KNIFE/ROD/EDGE GUIDE/MITRE GAUGE WHEEL SET HAIR TRIMMER CALMING STRATEGIES GRADE PK 5/MATH STRATEGIES GRADE K 2/READY FOR SCHOOL GRADE PK K/MY MATH/REFERENCE GRADE K 2/READING WRITING RE GRADE K 2/READING IS THINKING GRADE 2 5 SILIC...</x:v>
      </x:c>
      <x:c r="AG106" s="30" t="str"/>
      <x:c r="AH106" s="30" t="str"/>
      <x:c r="AI106" s="30" t="str"/>
      <x:c r="AJ106" s="30" t="str">
        <x:v>刷子</x:v>
      </x:c>
      <x:c r="AK106" s="30" t="str">
        <x:v>expansion-search-brush-page-10</x:v>
      </x:c>
      <x:c r="AL106" s="30" t="str">
        <x:v>UpKuajing customs company contact API</x:v>
      </x:c>
      <x:c r="AM106" s="30" t="str"/>
      <x:c r="AN106" s="30" t="str"/>
      <x:c r="AO106" s="34" t="n">
        <x:v>46220</x:v>
      </x:c>
    </x:row>
    <x:row r="107" ht="44" customHeight="1">
      <x:c r="A107" s="30" t="str">
        <x:v>API联系方式已获取</x:v>
      </x:c>
      <x:c r="B107" s="30" t="str">
        <x:v>高-欧美</x:v>
      </x:c>
      <x:c r="C107" s="30" t="str">
        <x:v>油漆刷</x:v>
      </x:c>
      <x:c r="D107" s="31" t="str">
        <x:v>20351469</x:v>
      </x:c>
      <x:c r="E107" s="30" t="str">
        <x:v>REGENT PRODUCTS CORP</x:v>
      </x:c>
      <x:c r="F107" s="30" t="str">
        <x:v>美国</x:v>
      </x:c>
      <x:c r="G107" s="30" t="str">
        <x:v>ndeville@regentproducts.com</x:v>
      </x:c>
      <x:c r="H107" s="30" t="str">
        <x:f>IF(ISNUMBER(SEARCH(":1",AC107)),"已验证有效",IF(ISNUMBER(SEARCH(":3",AC107)),"验证不确定",IF(ISNUMBER(SEARCH(":0",AC107)),"接口未能检测",IF(ISNUMBER(SEARCH(":2",AC107)),"判定无效",IF(V107&lt;&gt;"","官网已确认-未验证","无邮箱")))))</x:f>
        <x:v>已验证有效</x:v>
      </x:c>
      <x:c r="I107" s="30" t="str">
        <x:v>+1 800-624-8210</x:v>
      </x:c>
      <x:c r="J107" s="30" t="str">
        <x:v>www.regentproducts.com</x:v>
      </x:c>
      <x:c r="K107" s="35" t="n">
        <x:f>ROUND((IF(H107="已验证有效",40,IF(V107&lt;&gt;"",20,0))+IF(ISNUMBER(SEARCH("状态1",Y107)),25,0)+IF(J107&lt;&gt;"",20,0)+IF(AA107&lt;&gt;"",15,0))/100,2)</x:f>
        <x:v>0.85</x:v>
      </x:c>
      <x:c r="L107" s="30" t="str">
        <x:v>待联系</x:v>
      </x:c>
      <x:c r="M107" s="30" t="str"/>
      <x:c r="N107" s="30" t="str">
        <x:v>2656 quality ct virginia beach, va 23454, united states</x:v>
      </x:c>
      <x:c r="O107" s="30" t="str"/>
      <x:c r="P107" s="30" t="str">
        <x:v>自行制作手提袋，气球夹，桌子，泳镜，塑料沙拉，冷杉，稻草人，套件，牛仔，清洁球，钳子，泵，贴片套装，衣领，水晶</x:v>
      </x:c>
      <x:c r="Q107" s="32" t="n">
        <x:v>1</x:v>
      </x:c>
      <x:c r="R107" s="32" t="n">
        <x:v>2944</x:v>
      </x:c>
      <x:c r="S107" s="33" t="n">
        <x:v>0.0003</x:v>
      </x:c>
      <x:c r="T107" s="34" t="n">
        <x:v>45767.666666666664</x:v>
      </x:c>
      <x:c r="U107" s="30" t="str">
        <x:v>ndeville@regentproducts.com</x:v>
      </x:c>
      <x:c r="V107" s="30" t="str"/>
      <x:c r="W107" s="30" t="str">
        <x:v>+1 800-624-8210</x:v>
      </x:c>
      <x:c r="X107" s="30" t="str"/>
      <x:c r="Y107" s="30" t="str">
        <x:v>+1 800-624-8210:状态1/类型3/WhatsApp2</x:v>
      </x:c>
      <x:c r="Z107" s="30" t="str"/>
      <x:c r="AA107" s="30" t="str"/>
      <x:c r="AB107" s="30" t="str"/>
      <x:c r="AC107" s="30" t="str">
        <x:v>ndeville@regentproducts.com:1</x:v>
      </x:c>
      <x:c r="AD107" s="30" t="str">
        <x:v>油漆刷；Screwdriver；Clean sponge；Tape measure；Deodorizer ball</x:v>
      </x:c>
      <x:c r="AE107" s="30" t="str">
        <x:v>油漆刷；Screwdriver；Clean sponge；Tape measure；Deodorizer ball</x:v>
      </x:c>
      <x:c r="AF107" s="30" t="str">
        <x:v>PAINT BRUSH SCREWDRIVER CLEAN SPONGE TAPE MEASURE DEODORIZER BALL </x:v>
      </x:c>
      <x:c r="AG107" s="30" t="str">
        <x:v>油漆刷；Screw driver；Cleaning sponge；Measuring tape；Odor eliminator ball</x:v>
      </x:c>
      <x:c r="AH107" s="30" t="str">
        <x:v>Wood；金属；Sponge material；塑料；Fragrance</x:v>
      </x:c>
      <x:c r="AI107" s="30" t="str">
        <x:v>Home decoration；Repair work；Cleaning services；建筑施工；Household use</x:v>
      </x:c>
      <x:c r="AJ107" s="30" t="str">
        <x:v>油漆刷</x:v>
      </x:c>
      <x:c r="AK107" s="30" t="str">
        <x:v>expansion-search-paint-brush-page-03</x:v>
      </x:c>
      <x:c r="AL107" s="30" t="str">
        <x:v>UpKuajing customs company contact API</x:v>
      </x:c>
      <x:c r="AM107" s="30" t="str"/>
      <x:c r="AN107" s="30" t="str"/>
      <x:c r="AO107" s="34" t="n">
        <x:v>46220</x:v>
      </x:c>
    </x:row>
    <x:row r="108" ht="44" customHeight="1">
      <x:c r="A108" s="30" t="str">
        <x:v>API联系方式已获取</x:v>
      </x:c>
      <x:c r="B108" s="30" t="str">
        <x:v>高-欧美</x:v>
      </x:c>
      <x:c r="C108" s="30" t="str">
        <x:v>羊毛刷</x:v>
      </x:c>
      <x:c r="D108" s="31" t="str">
        <x:v>71469496</x:v>
      </x:c>
      <x:c r="E108" s="30" t="str">
        <x:v>RESOLOGIX, LLC</x:v>
      </x:c>
      <x:c r="F108" s="30" t="str">
        <x:v>美国</x:v>
      </x:c>
      <x:c r="G108" s="30" t="str">
        <x:v>cs-01@resologix.com</x:v>
      </x:c>
      <x:c r="H108" s="30" t="str">
        <x:f>IF(ISNUMBER(SEARCH(":1",AC108)),"已验证有效",IF(ISNUMBER(SEARCH(":3",AC108)),"验证不确定",IF(ISNUMBER(SEARCH(":0",AC108)),"接口未能检测",IF(ISNUMBER(SEARCH(":2",AC108)),"判定无效",IF(V108&lt;&gt;"","官网已确认-未验证","无邮箱")))))</x:f>
        <x:v>已验证有效</x:v>
      </x:c>
      <x:c r="I108" s="30" t="str">
        <x:v>+1 909-620-5907</x:v>
      </x:c>
      <x:c r="J108" s="30" t="str"/>
      <x:c r="K108" s="35" t="n">
        <x:f>ROUND((IF(H108="已验证有效",40,IF(V108&lt;&gt;"",20,0))+IF(ISNUMBER(SEARCH("状态1",Y108)),25,0)+IF(J108&lt;&gt;"",20,0)+IF(AA108&lt;&gt;"",15,0))/100,2)</x:f>
        <x:v>0.65</x:v>
      </x:c>
      <x:c r="L108" s="30" t="str">
        <x:v>待联系</x:v>
      </x:c>
      <x:c r="M108" s="30" t="str"/>
      <x:c r="N108" s="30" t="str">
        <x:v>Pomona, California</x:v>
      </x:c>
      <x:c r="O108" s="30" t="str"/>
      <x:c r="P108" s="30" t="str">
        <x:v>暂无经营范围信息</x:v>
      </x:c>
      <x:c r="Q108" s="32" t="n">
        <x:v>1</x:v>
      </x:c>
      <x:c r="R108" s="32" t="n">
        <x:v>10535</x:v>
      </x:c>
      <x:c r="S108" s="33" t="n">
        <x:v>0.0001</x:v>
      </x:c>
      <x:c r="T108" s="34" t="n">
        <x:v>46134.666666666664</x:v>
      </x:c>
      <x:c r="U108" s="30" t="str">
        <x:v>cs-01@resologix.com; lerry@usa-boss.com</x:v>
      </x:c>
      <x:c r="V108" s="30" t="str"/>
      <x:c r="W108" s="30" t="str">
        <x:v>+1 909-620-5907; 9096205907</x:v>
      </x:c>
      <x:c r="X108" s="30" t="str"/>
      <x:c r="Y108" s="30" t="str">
        <x:v>+1 909-620-5907:状态1/类型3/WhatsApp2; 9096205907:状态2/类型0/WhatsApp0</x:v>
      </x:c>
      <x:c r="Z108" s="30" t="str"/>
      <x:c r="AA108" s="30" t="str"/>
      <x:c r="AB108" s="30" t="str"/>
      <x:c r="AC108" s="30" t="str">
        <x:v>cs-01@resologix.com:1; lerry@usa-boss.com:1</x:v>
      </x:c>
      <x:c r="AD108" s="30" t="str"/>
      <x:c r="AE108" s="30" t="str"/>
      <x:c r="AF108" s="30" t="str">
        <x:v>CLEANING KIT CLEANING KIT PLASTIC COVERS BRUSH KIT WOOL FELT BRUSH ROPE SHIPPER'S OWN CONTAINER</x:v>
      </x:c>
      <x:c r="AG108" s="30" t="str"/>
      <x:c r="AH108" s="30" t="str"/>
      <x:c r="AI108" s="30" t="str"/>
      <x:c r="AJ108" s="30" t="str">
        <x:v>羊毛刷</x:v>
      </x:c>
      <x:c r="AK108" s="30" t="str">
        <x:v>expansion-search-wool-brush-page-04</x:v>
      </x:c>
      <x:c r="AL108" s="30" t="str">
        <x:v>UpKuajing customs company contact API</x:v>
      </x:c>
      <x:c r="AM108" s="30" t="str"/>
      <x:c r="AN108" s="30" t="str"/>
      <x:c r="AO108" s="34" t="n">
        <x:v>46220</x:v>
      </x:c>
    </x:row>
    <x:row r="109" ht="44" customHeight="1">
      <x:c r="A109" s="30" t="str">
        <x:v>API联系方式已获取</x:v>
      </x:c>
      <x:c r="B109" s="30" t="str">
        <x:v>高-欧美</x:v>
      </x:c>
      <x:c r="C109" s="30" t="str">
        <x:v>刷子</x:v>
      </x:c>
      <x:c r="D109" s="31" t="str">
        <x:v>20449641</x:v>
      </x:c>
      <x:c r="E109" s="30" t="str">
        <x:v>RLM INDUSTRIES INC</x:v>
      </x:c>
      <x:c r="F109" s="30" t="str">
        <x:v>美国</x:v>
      </x:c>
      <x:c r="G109" s="30" t="str">
        <x:v>info@rlmcastings.com</x:v>
      </x:c>
      <x:c r="H109" s="30" t="str">
        <x:f>IF(ISNUMBER(SEARCH(":1",AC109)),"已验证有效",IF(ISNUMBER(SEARCH(":3",AC109)),"验证不确定",IF(ISNUMBER(SEARCH(":0",AC109)),"接口未能检测",IF(ISNUMBER(SEARCH(":2",AC109)),"判定无效",IF(V109&lt;&gt;"","官网已确认-未验证","无邮箱")))))</x:f>
        <x:v>已验证有效</x:v>
      </x:c>
      <x:c r="I109" s="30" t="str">
        <x:v>+1 248-628-5103</x:v>
      </x:c>
      <x:c r="J109" s="30" t="str">
        <x:v>http://www.rlmcastings.com</x:v>
      </x:c>
      <x:c r="K109" s="35" t="n">
        <x:f>ROUND((IF(H109="已验证有效",40,IF(V109&lt;&gt;"",20,0))+IF(ISNUMBER(SEARCH("状态1",Y109)),25,0)+IF(J109&lt;&gt;"",20,0)+IF(AA109&lt;&gt;"",15,0))/100,2)</x:f>
        <x:v>1</x:v>
      </x:c>
      <x:c r="L109" s="30" t="str">
        <x:v>待联系</x:v>
      </x:c>
      <x:c r="M109" s="30" t="str"/>
      <x:c r="N109" s="30" t="str">
        <x:v>100 hummer lake rd. / po box 505, oxford, michigan 48371, usa</x:v>
      </x:c>
      <x:c r="O109" s="30" t="str"/>
      <x:c r="P109" s="30" t="str">
        <x:v>外壳、叉子、木材、配件、管道、泵零件、、陶瓷过滤器、鳕鱼、气缸、浆料罐、电机、卸扣、齿轮、基础发动机、单元、潜水泵零件、底阀、阿克、包装材料</x:v>
      </x:c>
      <x:c r="Q109" s="32" t="n">
        <x:v>1</x:v>
      </x:c>
      <x:c r="R109" s="32" t="n">
        <x:v>230</x:v>
      </x:c>
      <x:c r="S109" s="33" t="n">
        <x:v>0.0043</x:v>
      </x:c>
      <x:c r="T109" s="34" t="n">
        <x:v>45490.666666666664</x:v>
      </x:c>
      <x:c r="U109" s="30" t="str">
        <x:v>info@rlmcastings.com</x:v>
      </x:c>
      <x:c r="V109" s="30" t="str"/>
      <x:c r="W109" s="30" t="str">
        <x:v>+1 248-628-5103; 2486285103</x:v>
      </x:c>
      <x:c r="X109" s="30" t="str"/>
      <x:c r="Y109" s="30" t="str">
        <x:v>+1 248-628-5103:状态1/类型3/WhatsApp2; 2486285103:状态2/类型0/WhatsApp2</x:v>
      </x:c>
      <x:c r="Z109" s="30" t="str"/>
      <x:c r="AA109" s="30" t="str">
        <x:v>https://www.linkedin.com/company/rlm-industries/about; https://www.youtube.com/channel/UCSxP8AbBMiIq8J90O5N1h-w</x:v>
      </x:c>
      <x:c r="AB109" s="30" t="str"/>
      <x:c r="AC109" s="30" t="str">
        <x:v>info@rlmcastings.com:1</x:v>
      </x:c>
      <x:c r="AD109" s="30" t="str">
        <x:v>Sticker；Wood Brush；Bottles；Beer Cooler；Computer Cable；Nut Grinder；Pressure Sensor</x:v>
      </x:c>
      <x:c r="AE109" s="30" t="str">
        <x:v>Sticker；Wood；刷子；Bottles；Beer；Cooler；Computer；Cable；Nut；Grinder；Pressure；Sensor</x:v>
      </x:c>
      <x:c r="AF109" s="30" t="str">
        <x:v>STICKER 39199090 WOOD BRUSH 96039090 BOTTLES 39239000 BEER COOLER 84186990 COMPUTER CABLE 85444211 NUT GRINDER 84389000 PRESSURE SENSOR 90262090 THIS SHIPMENT CONTAINS NO SOLID WOO D PACKING MATERIALS ALSO SHIPPER= NINGBO CHIN A 315000 PRC TEL 86574879...</x:v>
      </x:c>
      <x:c r="AG109" s="30" t="str">
        <x:v>Adhesive Label；Timber Brush；Flask；Beer Chiller；Computer Wire；Nut Mill；Pressure Detector</x:v>
      </x:c>
      <x:c r="AH109" s="30" t="str">
        <x:v>纸；Wood；塑料；金属；Glass</x:v>
      </x:c>
      <x:c r="AI109" s="30" t="str">
        <x:v>Retail Stores；Bars；Offices；Kitchens；Industrial Facilities</x:v>
      </x:c>
      <x:c r="AJ109" s="30" t="str">
        <x:v>刷子</x:v>
      </x:c>
      <x:c r="AK109" s="30" t="str">
        <x:v>expansion-search-brush-page-07</x:v>
      </x:c>
      <x:c r="AL109" s="30" t="str">
        <x:v>UpKuajing customs company contact API</x:v>
      </x:c>
      <x:c r="AM109" s="30" t="str"/>
      <x:c r="AN109" s="30" t="str"/>
      <x:c r="AO109" s="34" t="n">
        <x:v>46220</x:v>
      </x:c>
    </x:row>
    <x:row r="110" ht="44" customHeight="1">
      <x:c r="A110" s="30" t="str">
        <x:v>API联系方式已获取</x:v>
      </x:c>
      <x:c r="B110" s="30" t="str">
        <x:v>高-欧美</x:v>
      </x:c>
      <x:c r="C110" s="30" t="str">
        <x:v>羊毛刷</x:v>
      </x:c>
      <x:c r="D110" s="31" t="str">
        <x:v>16978770</x:v>
      </x:c>
      <x:c r="E110" s="30" t="str">
        <x:v>scott schlueter</x:v>
      </x:c>
      <x:c r="F110" s="30" t="str">
        <x:v>美国</x:v>
      </x:c>
      <x:c r="G110" s="30" t="str">
        <x:v>frontoffice@sperioimplants.com</x:v>
      </x:c>
      <x:c r="H110" s="30" t="str">
        <x:f>IF(ISNUMBER(SEARCH(":1",AC110)),"已验证有效",IF(ISNUMBER(SEARCH(":3",AC110)),"验证不确定",IF(ISNUMBER(SEARCH(":0",AC110)),"接口未能检测",IF(ISNUMBER(SEARCH(":2",AC110)),"判定无效",IF(V110&lt;&gt;"","官网已确认-未验证","无邮箱")))))</x:f>
        <x:v>已验证有效</x:v>
      </x:c>
      <x:c r="I110" s="30" t="str">
        <x:v>31484261</x:v>
      </x:c>
      <x:c r="J110" s="30" t="str">
        <x:v>sperioimplants.com</x:v>
      </x:c>
      <x:c r="K110" s="35" t="n">
        <x:f>ROUND((IF(H110="已验证有效",40,IF(V110&lt;&gt;"",20,0))+IF(ISNUMBER(SEARCH("状态1",Y110)),25,0)+IF(J110&lt;&gt;"",20,0)+IF(AA110&lt;&gt;"",15,0))/100,2)</x:f>
        <x:v>0.75</x:v>
      </x:c>
      <x:c r="L110" s="30" t="str">
        <x:v>待联系</x:v>
      </x:c>
      <x:c r="M110" s="30" t="str"/>
      <x:c r="N110" s="30" t="str">
        <x:v>PO BOX 3</x:v>
      </x:c>
      <x:c r="O110" s="30" t="str"/>
      <x:c r="P110" s="30" t="str">
        <x:v>暂无经营范围信息</x:v>
      </x:c>
      <x:c r="Q110" s="32" t="n">
        <x:v>1</x:v>
      </x:c>
      <x:c r="R110" s="32" t="n">
        <x:v>2004</x:v>
      </x:c>
      <x:c r="S110" s="33" t="n">
        <x:v>0.0005</x:v>
      </x:c>
      <x:c r="T110" s="34" t="n">
        <x:v>45676.666666666664</x:v>
      </x:c>
      <x:c r="U110" s="30" t="str">
        <x:v>frontoffice@sperioimplants.com</x:v>
      </x:c>
      <x:c r="V110" s="30" t="str"/>
      <x:c r="W110" s="30" t="str">
        <x:v>31484261; 3148426151</x:v>
      </x:c>
      <x:c r="X110" s="30" t="str"/>
      <x:c r="Y110" s="30" t="str">
        <x:v>31484261:状态2/类型0/WhatsApp2; 3148426151:状态2/类型0/WhatsApp2</x:v>
      </x:c>
      <x:c r="Z110" s="30" t="str"/>
      <x:c r="AA110" s="30" t="str">
        <x:v>https://www.facebook.com/schlueterperio; https://www.instagram.com/schlueterperiodontics; https://www.youtube.com/user/schlueterperio</x:v>
      </x:c>
      <x:c r="AB110" s="30" t="str"/>
      <x:c r="AC110" s="30" t="str">
        <x:v>frontoffice@sperioimplants.com:1</x:v>
      </x:c>
      <x:c r="AD110" s="30" t="str">
        <x:v>Steel Wool Brush</x:v>
      </x:c>
      <x:c r="AE110" s="30" t="str">
        <x:v>Steel；刷子；Cleaning</x:v>
      </x:c>
      <x:c r="AF110" s="30" t="str">
        <x:v>Bộ bu lông bằng thép , đường kính ngoài thân 12mm, P/N: RRM000440003. Hàng mới 100%.#&amp;NO</x:v>
      </x:c>
      <x:c r="AG110" s="30" t="str">
        <x:v>Wire Wool Brush；Metal Wool Brush；Steel Brush；Scouring Brush；Cleaning Brush</x:v>
      </x:c>
      <x:c r="AH110" s="30" t="str">
        <x:v>Steel；Iron Ore；Carbon；Alloying Elements；Minerals</x:v>
      </x:c>
      <x:c r="AI110" s="30" t="str">
        <x:v>Home Cleaning；Industrial Cleaning；Automotive Maintenance；Metal Polishing；Woodworking</x:v>
      </x:c>
      <x:c r="AJ110" s="30" t="str">
        <x:v>羊毛刷</x:v>
      </x:c>
      <x:c r="AK110" s="30" t="str">
        <x:v>expansion-search-wool-brush-page-03</x:v>
      </x:c>
      <x:c r="AL110" s="30" t="str">
        <x:v>UpKuajing customs company contact API</x:v>
      </x:c>
      <x:c r="AM110" s="30" t="str"/>
      <x:c r="AN110" s="30" t="str"/>
      <x:c r="AO110" s="34" t="n">
        <x:v>46220</x:v>
      </x:c>
    </x:row>
    <x:row r="111" ht="44" customHeight="1">
      <x:c r="A111" s="30" t="str">
        <x:v>API联系方式已获取</x:v>
      </x:c>
      <x:c r="B111" s="30" t="str">
        <x:v>高-欧美</x:v>
      </x:c>
      <x:c r="C111" s="30" t="str">
        <x:v>遮蔽膜</x:v>
      </x:c>
      <x:c r="D111" s="31" t="str">
        <x:v>20634349</x:v>
      </x:c>
      <x:c r="E111" s="30" t="str">
        <x:v>SUNMIGHT USA CORP</x:v>
      </x:c>
      <x:c r="F111" s="30" t="str">
        <x:v>美国</x:v>
      </x:c>
      <x:c r="G111" s="30" t="str">
        <x:v>sales@sunmightusa.com</x:v>
      </x:c>
      <x:c r="H111" s="30" t="str">
        <x:f>IF(ISNUMBER(SEARCH(":1",AC111)),"已验证有效",IF(ISNUMBER(SEARCH(":3",AC111)),"验证不确定",IF(ISNUMBER(SEARCH(":0",AC111)),"接口未能检测",IF(ISNUMBER(SEARCH(":2",AC111)),"判定无效",IF(V111&lt;&gt;"","官网已确认-未验证","无邮箱")))))</x:f>
        <x:v>已验证有效</x:v>
      </x:c>
      <x:c r="I111" s="30" t="str">
        <x:v>+1 714-952-5020</x:v>
      </x:c>
      <x:c r="J111" s="30" t="str">
        <x:v>www.sunmightusa.com</x:v>
      </x:c>
      <x:c r="K111" s="35" t="n">
        <x:f>ROUND((IF(H111="已验证有效",40,IF(V111&lt;&gt;"",20,0))+IF(ISNUMBER(SEARCH("状态1",Y111)),25,0)+IF(J111&lt;&gt;"",20,0)+IF(AA111&lt;&gt;"",15,0))/100,2)</x:f>
        <x:v>1</x:v>
      </x:c>
      <x:c r="L111" s="30" t="str">
        <x:v>待联系</x:v>
      </x:c>
      <x:c r="M111" s="30" t="str"/>
      <x:c r="N111" s="30" t="str">
        <x:v>14943 DESMAN RD</x:v>
      </x:c>
      <x:c r="O111" s="30" t="str"/>
      <x:c r="P111" s="30" t="str">
        <x:v>暂无经营范围信息</x:v>
      </x:c>
      <x:c r="Q111" s="32" t="n">
        <x:v>1</x:v>
      </x:c>
      <x:c r="R111" s="32" t="n">
        <x:v>803</x:v>
      </x:c>
      <x:c r="S111" s="33" t="n">
        <x:v>0.0012</x:v>
      </x:c>
      <x:c r="T111" s="34" t="n">
        <x:v>45600.666666666664</x:v>
      </x:c>
      <x:c r="U111" s="30" t="str">
        <x:v>sales@sunmightusa.com</x:v>
      </x:c>
      <x:c r="V111" s="30" t="str"/>
      <x:c r="W111" s="30" t="str">
        <x:v>+1 714-952-5020; 7149525020</x:v>
      </x:c>
      <x:c r="X111" s="30" t="str"/>
      <x:c r="Y111" s="30" t="str">
        <x:v>+1 714-952-5020:状态1/类型3/WhatsApp2; 7149525020:状态2/类型0/WhatsApp2</x:v>
      </x:c>
      <x:c r="Z111" s="30" t="str"/>
      <x:c r="AA111" s="30" t="str">
        <x:v>https://www.facebook.com/Sunmight-USA-853750248015099; https://www.linkedin.com/company/sunmight-usa-corporation; https://www.youtube.com/channel/UC8N04SiL5aP9Hqalsoac-fw</x:v>
      </x:c>
      <x:c r="AB111" s="30" t="str"/>
      <x:c r="AC111" s="30" t="str">
        <x:v>sales@sunmightusa.com:1</x:v>
      </x:c>
      <x:c r="AD111" s="30" t="str">
        <x:v>塑料遮蔽膜</x:v>
      </x:c>
      <x:c r="AE111" s="30" t="str">
        <x:v>塑料；遮蔽膜</x:v>
      </x:c>
      <x:c r="AF111" s="30" t="str">
        <x:v>PLASTIC MASKING FILM</x:v>
      </x:c>
      <x:c r="AG111" s="30" t="str">
        <x:v>Plastic masking tape；Painter's film；Protective plastic film；塑料遮蔽片；表面保护膜</x:v>
      </x:c>
      <x:c r="AH111" s="30" t="str">
        <x:v>塑料树脂；聚合物；添加剂；增塑剂；Pigment</x:v>
      </x:c>
      <x:c r="AI111" s="30" t="str">
        <x:v>汽车涂装；家具涂装；建筑涂装；工业涂装；DIY项目</x:v>
      </x:c>
      <x:c r="AJ111" s="30" t="str">
        <x:v>遮蔽膜</x:v>
      </x:c>
      <x:c r="AK111" s="30" t="str">
        <x:v>expansion-search-masking-film-page-02</x:v>
      </x:c>
      <x:c r="AL111" s="30" t="str">
        <x:v>UpKuajing customs company contact API</x:v>
      </x:c>
      <x:c r="AM111" s="30" t="str"/>
      <x:c r="AN111" s="30" t="str"/>
      <x:c r="AO111" s="34" t="n">
        <x:v>46220</x:v>
      </x:c>
    </x:row>
    <x:row r="112" ht="44" customHeight="1">
      <x:c r="A112" s="30" t="str">
        <x:v>API联系方式已获取</x:v>
      </x:c>
      <x:c r="B112" s="30" t="str">
        <x:v>高-欧美</x:v>
      </x:c>
      <x:c r="C112" s="30" t="str">
        <x:v>猪毛刷</x:v>
      </x:c>
      <x:c r="D112" s="31" t="str">
        <x:v>20856834</x:v>
      </x:c>
      <x:c r="E112" s="30" t="str">
        <x:v>UNIVERSAL BEAUTY PRODUCTS INC</x:v>
      </x:c>
      <x:c r="F112" s="30" t="str">
        <x:v>美国</x:v>
      </x:c>
      <x:c r="G112" s="30" t="str">
        <x:v>info@universalbeauty.com</x:v>
      </x:c>
      <x:c r="H112" s="30" t="str">
        <x:f>IF(ISNUMBER(SEARCH(":1",AC112)),"已验证有效",IF(ISNUMBER(SEARCH(":3",AC112)),"验证不确定",IF(ISNUMBER(SEARCH(":0",AC112)),"接口未能检测",IF(ISNUMBER(SEARCH(":2",AC112)),"判定无效",IF(V112&lt;&gt;"","官网已确认-未验证","无邮箱")))))</x:f>
        <x:v>接口未能检测</x:v>
      </x:c>
      <x:c r="I112" s="30" t="str">
        <x:v>+1 847-805-4100</x:v>
      </x:c>
      <x:c r="J112" s="30" t="str">
        <x:v>www.universalbeauty.com</x:v>
      </x:c>
      <x:c r="K112" s="35" t="n">
        <x:f>ROUND((IF(H112="已验证有效",40,IF(V112&lt;&gt;"",20,0))+IF(ISNUMBER(SEARCH("状态1",Y112)),25,0)+IF(J112&lt;&gt;"",20,0)+IF(AA112&lt;&gt;"",15,0))/100,2)</x:f>
        <x:v>0.6</x:v>
      </x:c>
      <x:c r="L112" s="30" t="str">
        <x:v>待联系</x:v>
      </x:c>
      <x:c r="M112" s="30" t="str"/>
      <x:c r="N112" s="30" t="str">
        <x:v>500 WALL ST</x:v>
      </x:c>
      <x:c r="O112" s="30" t="str"/>
      <x:c r="P112" s="30" t="str">
        <x:v>盥洗用品，例如香水、剃须用品、护发用品、面霜、乳液和其他化妆品制剂</x:v>
      </x:c>
      <x:c r="Q112" s="32" t="n">
        <x:v>1</x:v>
      </x:c>
      <x:c r="R112" s="32" t="n">
        <x:v>471</x:v>
      </x:c>
      <x:c r="S112" s="33" t="n">
        <x:v>0.0021</x:v>
      </x:c>
      <x:c r="T112" s="34" t="n">
        <x:v>45696.666666666664</x:v>
      </x:c>
      <x:c r="U112" s="30" t="str">
        <x:v>info@universalbeauty.com</x:v>
      </x:c>
      <x:c r="V112" s="30" t="str"/>
      <x:c r="W112" s="30" t="str">
        <x:v>+1 847-805-4100</x:v>
      </x:c>
      <x:c r="X112" s="30" t="str"/>
      <x:c r="Y112" s="30" t="str">
        <x:v>+1 847-805-4100:状态1/类型3/WhatsApp2</x:v>
      </x:c>
      <x:c r="Z112" s="30" t="str"/>
      <x:c r="AA112" s="30" t="str">
        <x:v>https://www.facebook.com/universalbeautyproducts; https://www.instagram.com/universalbeautyproducts; https://twitter.com/universalbeautyproducts; https://www.youtube.com/universalbeautyproducts</x:v>
      </x:c>
      <x:c r="AB112" s="30" t="str"/>
      <x:c r="AC112" s="30" t="str">
        <x:v>info@universalbeauty.com:0</x:v>
      </x:c>
      <x:c r="AD112" s="30" t="str">
        <x:v>猪鬃刷</x:v>
      </x:c>
      <x:c r="AE112" s="30" t="str">
        <x:v>Boar；刷子</x:v>
      </x:c>
      <x:c r="AF112" s="30" t="str">
        <x:v>BOAR BRUSH </x:v>
      </x:c>
      <x:c r="AG112" s="30" t="str">
        <x:v>Wild Boar Brush；Hog Bristle Brush；Pig Hair Brush；Bristle Brush；Animal Hair Brush</x:v>
      </x:c>
      <x:c r="AH112" s="30" t="str">
        <x:v>Boar Hair；塑料；Wood；金属；Resin</x:v>
      </x:c>
      <x:c r="AI112" s="30" t="str">
        <x:v>Cosmetics Industry；Painting；Cleaning；Grooming；手工艺</x:v>
      </x:c>
      <x:c r="AJ112" s="30" t="str">
        <x:v>猪毛刷</x:v>
      </x:c>
      <x:c r="AK112" s="30" t="str">
        <x:v>expansion-search-hog-bristle-brush-page-01</x:v>
      </x:c>
      <x:c r="AL112" s="30" t="str">
        <x:v>UpKuajing customs company contact API</x:v>
      </x:c>
      <x:c r="AM112" s="30" t="str"/>
      <x:c r="AN112" s="30" t="str"/>
      <x:c r="AO112" s="34" t="n">
        <x:v>46220</x:v>
      </x:c>
    </x:row>
    <x:row r="113" ht="44" customHeight="1">
      <x:c r="A113" s="30" t="str">
        <x:v>API联系方式已获取</x:v>
      </x:c>
      <x:c r="B113" s="30" t="str">
        <x:v>高-欧美</x:v>
      </x:c>
      <x:c r="C113" s="30" t="str">
        <x:v>羊毛刷</x:v>
      </x:c>
      <x:c r="D113" s="31" t="str">
        <x:v>71499254</x:v>
      </x:c>
      <x:c r="E113" s="30" t="str">
        <x:v>US FURNISHINGS EXPRESS CORP</x:v>
      </x:c>
      <x:c r="F113" s="30" t="str">
        <x:v>美国</x:v>
      </x:c>
      <x:c r="G113" s="30" t="str">
        <x:v>om@ufe2.com</x:v>
      </x:c>
      <x:c r="H113" s="30" t="str">
        <x:f>IF(ISNUMBER(SEARCH(":1",AC113)),"已验证有效",IF(ISNUMBER(SEARCH(":3",AC113)),"验证不确定",IF(ISNUMBER(SEARCH(":0",AC113)),"接口未能检测",IF(ISNUMBER(SEARCH(":2",AC113)),"判定无效",IF(V113&lt;&gt;"","官网已确认-未验证","无邮箱")))))</x:f>
        <x:v>接口未能检测</x:v>
      </x:c>
      <x:c r="I113" s="30" t="str">
        <x:v>+1 909-364-1661</x:v>
      </x:c>
      <x:c r="J113" s="30" t="str"/>
      <x:c r="K113" s="35" t="n">
        <x:f>ROUND((IF(H113="已验证有效",40,IF(V113&lt;&gt;"",20,0))+IF(ISNUMBER(SEARCH("状态1",Y113)),25,0)+IF(J113&lt;&gt;"",20,0)+IF(AA113&lt;&gt;"",15,0))/100,2)</x:f>
        <x:v>0.25</x:v>
      </x:c>
      <x:c r="L113" s="30" t="str">
        <x:v>待联系</x:v>
      </x:c>
      <x:c r="M113" s="30" t="str"/>
      <x:c r="N113" s="30" t="str">
        <x:v>Chino, California</x:v>
      </x:c>
      <x:c r="O113" s="30" t="str"/>
      <x:c r="P113" s="30" t="str">
        <x:v>暂无经营范围信息</x:v>
      </x:c>
      <x:c r="Q113" s="32" t="n">
        <x:v>1</x:v>
      </x:c>
      <x:c r="R113" s="32" t="n">
        <x:v>9123</x:v>
      </x:c>
      <x:c r="S113" s="33" t="n">
        <x:v>0.0001</x:v>
      </x:c>
      <x:c r="T113" s="34" t="n">
        <x:v>45655.666666666664</x:v>
      </x:c>
      <x:c r="U113" s="30" t="str">
        <x:v>om@ufe2.com</x:v>
      </x:c>
      <x:c r="V113" s="30" t="str"/>
      <x:c r="W113" s="30" t="str">
        <x:v>+1 909-364-1661; 9093641661; 9093641662</x:v>
      </x:c>
      <x:c r="X113" s="30" t="str"/>
      <x:c r="Y113" s="30" t="str">
        <x:v>+1 909-364-1661:状态1/类型3/WhatsApp2; 9093641661:状态2/类型0/WhatsApp0; 9093641662:状态2/类型0/WhatsApp0</x:v>
      </x:c>
      <x:c r="Z113" s="30" t="str"/>
      <x:c r="AA113" s="30" t="str"/>
      <x:c r="AB113" s="30" t="str"/>
      <x:c r="AC113" s="30" t="str">
        <x:v>om@ufe2.com:0</x:v>
      </x:c>
      <x:c r="AD113" s="30" t="str"/>
      <x:c r="AE113" s="30" t="str"/>
      <x:c r="AF113" s="30" t="str">
        <x:v>TRASH CAN BUNGEE CORD STEEL WOOL PADS BRUSH P LASTIC CUPS OVAL MESH BASKET LAUNDRY HAMPER P LASTIC CUTLERY S/C =LAX24-637B THIS ...</x:v>
      </x:c>
      <x:c r="AG113" s="30" t="str"/>
      <x:c r="AH113" s="30" t="str"/>
      <x:c r="AI113" s="30" t="str"/>
      <x:c r="AJ113" s="30" t="str">
        <x:v>羊毛刷</x:v>
      </x:c>
      <x:c r="AK113" s="30" t="str">
        <x:v>expansion-search-wool-brush-page-04</x:v>
      </x:c>
      <x:c r="AL113" s="30" t="str">
        <x:v>UpKuajing customs company contact API</x:v>
      </x:c>
      <x:c r="AM113" s="30" t="str"/>
      <x:c r="AN113" s="30" t="str"/>
      <x:c r="AO113" s="34" t="n">
        <x:v>46220</x:v>
      </x:c>
    </x:row>
    <x:row r="114" ht="44" customHeight="1">
      <x:c r="A114" s="30" t="str">
        <x:v>API联系方式已获取</x:v>
      </x:c>
      <x:c r="B114" s="30" t="str">
        <x:v>高-欧美</x:v>
      </x:c>
      <x:c r="C114" s="30" t="str">
        <x:v>刷子</x:v>
      </x:c>
      <x:c r="D114" s="31" t="str">
        <x:v>20447239</x:v>
      </x:c>
      <x:c r="E114" s="30" t="str">
        <x:v>VOLVO GROUP NORTH AMERICA</x:v>
      </x:c>
      <x:c r="F114" s="30" t="str">
        <x:v>美国</x:v>
      </x:c>
      <x:c r="G114" s="30" t="str">
        <x:v>john.mies@volvo.com</x:v>
      </x:c>
      <x:c r="H114" s="30" t="str">
        <x:f>IF(ISNUMBER(SEARCH(":1",AC114)),"已验证有效",IF(ISNUMBER(SEARCH(":3",AC114)),"验证不确定",IF(ISNUMBER(SEARCH(":0",AC114)),"接口未能检测",IF(ISNUMBER(SEARCH(":2",AC114)),"判定无效",IF(V114&lt;&gt;"","官网已确认-未验证","无邮箱")))))</x:f>
        <x:v>已验证有效</x:v>
      </x:c>
      <x:c r="I114" s="30" t="str">
        <x:v>+1 336-393-4300</x:v>
      </x:c>
      <x:c r="J114" s="30" t="str">
        <x:v>www.volvogroup.com</x:v>
      </x:c>
      <x:c r="K114" s="35" t="n">
        <x:f>ROUND((IF(H114="已验证有效",40,IF(V114&lt;&gt;"",20,0))+IF(ISNUMBER(SEARCH("状态1",Y114)),25,0)+IF(J114&lt;&gt;"",20,0)+IF(AA114&lt;&gt;"",15,0))/100,2)</x:f>
        <x:v>0.85</x:v>
      </x:c>
      <x:c r="L114" s="30" t="str">
        <x:v>待联系</x:v>
      </x:c>
      <x:c r="M114" s="30" t="str"/>
      <x:c r="N114" s="30" t="str">
        <x:v>p.o. box 26115 greensboro, nc 27402-6115</x:v>
      </x:c>
      <x:c r="O114" s="30" t="str"/>
      <x:c r="P114" s="30" t="str">
        <x:v>乙醚，前轴梁，电机，木箱，无，机，耐用手电筒，60立方米，卡，电热毛巾，威廉姆斯，计数，单位，14，盒，套件，卡车，板</x:v>
      </x:c>
      <x:c r="Q114" s="32" t="n">
        <x:v>1</x:v>
      </x:c>
      <x:c r="R114" s="32" t="n">
        <x:v>348</x:v>
      </x:c>
      <x:c r="S114" s="33" t="n">
        <x:v>0.0029</x:v>
      </x:c>
      <x:c r="T114" s="34" t="n">
        <x:v>45552.666666666664</x:v>
      </x:c>
      <x:c r="U114" s="30" t="str">
        <x:v>john.mies@volvo.com</x:v>
      </x:c>
      <x:c r="V114" s="30" t="str"/>
      <x:c r="W114" s="30" t="str">
        <x:v>+1 336-393-4300</x:v>
      </x:c>
      <x:c r="X114" s="30" t="str"/>
      <x:c r="Y114" s="30" t="str">
        <x:v>+1 336-393-4300:状态1/类型3/WhatsApp2</x:v>
      </x:c>
      <x:c r="Z114" s="30" t="str"/>
      <x:c r="AA114" s="30" t="str"/>
      <x:c r="AB114" s="30" t="str"/>
      <x:c r="AC114" s="30" t="str">
        <x:v>john.mies@volvo.com:1</x:v>
      </x:c>
      <x:c r="AD114" s="30" t="str">
        <x:v>Automobile Components；Auto Parts；Electric Toothbrush</x:v>
      </x:c>
      <x:c r="AE114" s="30" t="str">
        <x:v>Automobile；Components；Auto；零部件；Electric Toothbrush</x:v>
      </x:c>
      <x:c r="AF114" s="30" t="str">
        <x:v>01 PKGS ONLY AUOMOBILE COMPON ENTS H S CODE:87083000 S B N O:2306073 DT:10 07 24 GRS WT :400 130 KGS 01 PKGS ONLY AUTO PARTS LVR STR MTR THRU H S CODE:87089900 S B NO:22873 95 DT:09 07 24 GRS WT:505 00 0 KGS 01 PKGS ONLY ELECTRI C TOOTH BRUSH H S CODE:85</x:v>
      </x:c>
      <x:c r="AG114" s="30" t="str">
        <x:v>Car Components；Vehicle Parts；Automotive Components；Toothbrush；Oral Hygiene Brush</x:v>
      </x:c>
      <x:c r="AH114" s="30" t="str">
        <x:v>金属；塑料；橡胶；电子元件；Battery</x:v>
      </x:c>
      <x:c r="AI114" s="30" t="str">
        <x:v>Automobiles；Cars；Trucks；Motorcycles；Oral care kits</x:v>
      </x:c>
      <x:c r="AJ114" s="30" t="str">
        <x:v>刷子</x:v>
      </x:c>
      <x:c r="AK114" s="30" t="str">
        <x:v>expansion-search-brush-page-07</x:v>
      </x:c>
      <x:c r="AL114" s="30" t="str">
        <x:v>UpKuajing customs company contact API</x:v>
      </x:c>
      <x:c r="AM114" s="30" t="str"/>
      <x:c r="AN114" s="30" t="str"/>
      <x:c r="AO114" s="34" t="n">
        <x:v>46220</x:v>
      </x:c>
    </x:row>
    <x:row r="115" ht="44" customHeight="1">
      <x:c r="A115" s="30" t="str">
        <x:v>API联系方式已获取</x:v>
      </x:c>
      <x:c r="B115" s="30" t="str">
        <x:v>高-欧美</x:v>
      </x:c>
      <x:c r="C115" s="30" t="str">
        <x:v>羊毛刷</x:v>
      </x:c>
      <x:c r="D115" s="31" t="str">
        <x:v>6170233</x:v>
      </x:c>
      <x:c r="E115" s="30" t="str">
        <x:v>тов майнау</x:v>
      </x:c>
      <x:c r="F115" s="30" t="str">
        <x:v>乌克兰</x:v>
      </x:c>
      <x:c r="G115" s="30" t="str">
        <x:v>stahl-ua@ukr.net</x:v>
      </x:c>
      <x:c r="H115" s="30" t="str">
        <x:f>IF(ISNUMBER(SEARCH(":1",AC115)),"已验证有效",IF(ISNUMBER(SEARCH(":3",AC115)),"验证不确定",IF(ISNUMBER(SEARCH(":0",AC115)),"接口未能检测",IF(ISNUMBER(SEARCH(":2",AC115)),"判定无效",IF(V115&lt;&gt;"","官网已确认-未验证","无邮箱")))))</x:f>
        <x:v>已验证有效</x:v>
      </x:c>
      <x:c r="I115" s="30" t="str"/>
      <x:c r="J115" s="30" t="str">
        <x:v>www.stahl.com.ua</x:v>
      </x:c>
      <x:c r="K115" s="35" t="n">
        <x:f>ROUND((IF(H115="已验证有效",40,IF(V115&lt;&gt;"",20,0))+IF(ISNUMBER(SEARCH("状态1",Y115)),25,0)+IF(J115&lt;&gt;"",20,0)+IF(AA115&lt;&gt;"",15,0))/100,2)</x:f>
        <x:v>0.6</x:v>
      </x:c>
      <x:c r="L115" s="30" t="str">
        <x:v>待联系</x:v>
      </x:c>
      <x:c r="M115" s="30" t="str"/>
      <x:c r="N115" s="30" t="str">
        <x:v>02160, г.киев, пр.воссоединения 7а, оф.212а</x:v>
      </x:c>
      <x:c r="O115" s="30" t="str"/>
      <x:c r="P115" s="30" t="str">
        <x:v>暂无经营范围信息</x:v>
      </x:c>
      <x:c r="Q115" s="32" t="n">
        <x:v>1</x:v>
      </x:c>
      <x:c r="R115" s="32" t="n">
        <x:v>479</x:v>
      </x:c>
      <x:c r="S115" s="33" t="n">
        <x:v>0.0021</x:v>
      </x:c>
      <x:c r="T115" s="34" t="n">
        <x:v>45979.666666666664</x:v>
      </x:c>
      <x:c r="U115" s="30" t="str">
        <x:v>stahl-ua@ukr.net</x:v>
      </x:c>
      <x:c r="V115" s="30" t="str"/>
      <x:c r="W115" s="30" t="str"/>
      <x:c r="X115" s="30" t="str"/>
      <x:c r="Y115" s="30" t="str"/>
      <x:c r="Z115" s="30" t="str"/>
      <x:c r="AA115" s="30" t="str"/>
      <x:c r="AB115" s="30" t="str"/>
      <x:c r="AC115" s="30" t="str">
        <x:v>stahl-ua@ukr.net:1</x:v>
      </x:c>
      <x:c r="AD115" s="30" t="str"/>
      <x:c r="AE115" s="30" t="str">
        <x:v>刷子；prepared knots；squeegees；mops；brooms；tufts；leather dusters</x:v>
      </x:c>
      <x:c r="AF115" s="30" t="str">
        <x:v>РІЗНІ ГОТОВІ ВИРОБИ ЩІТКИ 13 010 ADHESIVE ROLL MT 10 КЛЕЙОВА РУЛОНКА З РУЧКОЮ КРЕП ПАПІР 12000 ШТ 13 030 RELOADING ADHESIVE ROLL ЗМІННИЙ БЛОК РУЛОННОЇ ЛИПКОЇ СТРІЧКИ ТУБА З 2 ПЕРЕЗАРЯДКАМИ КРЕПОВИЙ ПАПІР 18000 ШТ 13 080 BRUSH FOR WOOL STRONG ЩІТКА ДЛЯ ВОВНИ СИЛЬНОГО ТИПУ 3600 ШТ 13 140 BRUSH NYLON FOR SPOTTING НЕЙЛОНОВА ЩІТКА ДЛЯ ПЛЯМ 3000 ШТ 13 220 TAMPICO BRUSH ЩІТКА З ТАМПІКО 2000 ШТ 13 150 BRUSH FOR SPOTTING ЩІТКА З КІНСЬКОГО ВОЛОСУ ДЛЯ ПЛЯМ 1000 ШТ</x:v>
      </x:c>
      <x:c r="AG115" s="30" t="str"/>
      <x:c r="AH115" s="30" t="str"/>
      <x:c r="AI115" s="30" t="str"/>
      <x:c r="AJ115" s="30" t="str">
        <x:v>羊毛刷</x:v>
      </x:c>
      <x:c r="AK115" s="30" t="str">
        <x:v>expansion-search-wool-brush-page-03</x:v>
      </x:c>
      <x:c r="AL115" s="30" t="str">
        <x:v>UpKuajing customs company contact API</x:v>
      </x:c>
      <x:c r="AM115" s="30" t="str"/>
      <x:c r="AN115" s="30" t="str"/>
      <x:c r="AO115" s="34" t="n">
        <x:v>46220</x:v>
      </x:c>
    </x:row>
    <x:row r="116" ht="44" customHeight="1">
      <x:c r="A116" s="30" t="str">
        <x:v>API联系方式已获取</x:v>
      </x:c>
      <x:c r="B116" s="30" t="str">
        <x:v>常规-全球</x:v>
      </x:c>
      <x:c r="C116" s="30" t="str">
        <x:v>刷子；羊毛刷</x:v>
      </x:c>
      <x:c r="D116" s="31" t="str">
        <x:v>4416182</x:v>
      </x:c>
      <x:c r="E116" s="30" t="str">
        <x:v>công ty tnhh ford việt nam</x:v>
      </x:c>
      <x:c r="F116" s="30" t="str">
        <x:v>越南</x:v>
      </x:c>
      <x:c r="G116" s="30" t="str">
        <x:v>fordgd@hn.vnn.vn</x:v>
      </x:c>
      <x:c r="H116" s="30" t="str">
        <x:f>IF(ISNUMBER(SEARCH(":1",AC116)),"已验证有效",IF(ISNUMBER(SEARCH(":3",AC116)),"验证不确定",IF(ISNUMBER(SEARCH(":0",AC116)),"接口未能检测",IF(ISNUMBER(SEARCH(":2",AC116)),"判定无效",IF(V116&lt;&gt;"","官网已确认-未验证","无邮箱")))))</x:f>
        <x:v>已验证有效</x:v>
      </x:c>
      <x:c r="I116" s="30" t="str"/>
      <x:c r="J116" s="30" t="str">
        <x:v>http://www.ford.com.vn/</x:v>
      </x:c>
      <x:c r="K116" s="35" t="n">
        <x:f>ROUND((IF(H116="已验证有效",40,IF(V116&lt;&gt;"",20,0))+IF(ISNUMBER(SEARCH("状态1",Y116)),25,0)+IF(J116&lt;&gt;"",20,0)+IF(AA116&lt;&gt;"",15,0))/100,2)</x:f>
        <x:v>0.75</x:v>
      </x:c>
      <x:c r="L116" s="30" t="str">
        <x:v>待联系</x:v>
      </x:c>
      <x:c r="M116" s="30" t="str"/>
      <x:c r="N116" s="30" t="str">
        <x:v>tầng6, tòa nhà mặt trời sông hồng, 23 phan chu trinh, q. hoàn kiếm,hà nội</x:v>
      </x:c>
      <x:c r="O116" s="30" t="str"/>
      <x:c r="P116" s="30" t="str">
        <x:v>存储卡、机械密封件、插销钩、热机、气体流量测量仪、自粘胶带、提取器、塑料灯、光学阅读器、纸标签、塑料盖、电磁铁、探险家、卡车、垃圾桶、框架、膨胀阀、手柄、发光二极管、锁部件</x:v>
      </x:c>
      <x:c r="Q116" s="32" t="n">
        <x:v>9024</x:v>
      </x:c>
      <x:c r="R116" s="32" t="n">
        <x:v>2480246</x:v>
      </x:c>
      <x:c r="S116" s="33" t="n">
        <x:v>0.0036</x:v>
      </x:c>
      <x:c r="T116" s="34" t="n">
        <x:v>45929.666666666664</x:v>
      </x:c>
      <x:c r="U116" s="30" t="str">
        <x:v>fordgd@hn.vnn.vn; fordvn@ford.com</x:v>
      </x:c>
      <x:c r="V116" s="30" t="str"/>
      <x:c r="W116" s="30" t="str"/>
      <x:c r="X116" s="30" t="str"/>
      <x:c r="Y116" s="30" t="str"/>
      <x:c r="Z116" s="30" t="str"/>
      <x:c r="AA116" s="30" t="str">
        <x:v>https://www.facebook.com/FordVietnam; https://www.instagram.com/fordvietnam; https://www.youtube.com/channel/UCJsYIyQy_mMDY-M3WBI_oWg</x:v>
      </x:c>
      <x:c r="AB116" s="30" t="str"/>
      <x:c r="AC116" s="30" t="str">
        <x:v>fordgd@hn.vnn.vn:1; fordvn@ford.com:1</x:v>
      </x:c>
      <x:c r="AD116" s="30" t="str">
        <x:v>Metal U-shaped Brush；Metal Ring for Wool Brush</x:v>
      </x:c>
      <x:c r="AE116" s="30" t="str">
        <x:v>Metal Brush；U-shaped；Vehicle Assembly Parts；Metal Ring；羊毛刷</x:v>
      </x:c>
      <x:c r="AF116" s="30" t="str">
        <x:v>P2W95705AA - Bu lông bằng kim loại chữ U lắp cầu sau đường kính ngoài của thân không quá 16 mm, linh kiện lắp ráp cho xe Transit nhóm 8702, hàng mới 100%; W702693S437 - Đai ốc (bằng kim loại) cho bu lông có đường kính ngoài của thân không quá 16 mm, linh kiện lắp ráp cho xe Transit nhóm 8702, hàng mới 100%</x:v>
      </x:c>
      <x:c r="AG116" s="30" t="str">
        <x:v>U-shaped Metal Brush；Vehicle Brush；Transit Vehicle Brush；Assembly Brush；Metal Assembly Brush；Metal Loop；Metal Hoop；Metal Band；Metal Collar；Metal Grommet</x:v>
      </x:c>
      <x:c r="AH116" s="30" t="str">
        <x:v>金属；Brush Bristles；U-shaped Mold；Vehicle Parts；Assembly Materials；Iron；Steel；Alloy；Mineral Ore</x:v>
      </x:c>
      <x:c r="AI116" s="30" t="str">
        <x:v>Transit Vehicles；Automobile Assembly；Vehicle Maintenance；Automobile Manufacturing；Vehicle Repair；Automobiles；Commercial Vehicles；Transportation Equipment；Automotive Parts</x:v>
      </x:c>
      <x:c r="AJ116" s="30" t="str">
        <x:v>刷子；羊毛刷</x:v>
      </x:c>
      <x:c r="AK116" s="30" t="str">
        <x:v>expansion-search-brush-page-01; expansion-search-wool-brush-page-01</x:v>
      </x:c>
      <x:c r="AL116" s="30" t="str">
        <x:v>UpKuajing customs company contact API</x:v>
      </x:c>
      <x:c r="AM116" s="30" t="str"/>
      <x:c r="AN116" s="30" t="str"/>
      <x:c r="AO116" s="34" t="n">
        <x:v>46220</x:v>
      </x:c>
    </x:row>
    <x:row r="117" ht="44" customHeight="1">
      <x:c r="A117" s="30" t="str">
        <x:v>API联系方式已获取</x:v>
      </x:c>
      <x:c r="B117" s="30" t="str">
        <x:v>常规-全球</x:v>
      </x:c>
      <x:c r="C117" s="30" t="str">
        <x:v>胶带</x:v>
      </x:c>
      <x:c r="D117" s="31" t="str">
        <x:v>20189222</x:v>
      </x:c>
      <x:c r="E117" s="30" t="str">
        <x:v>DIXON TECHNOLOGIES (INDIA) LIMITED</x:v>
      </x:c>
      <x:c r="F117" s="30" t="str">
        <x:v>印度</x:v>
      </x:c>
      <x:c r="G117" s="30" t="str">
        <x:v>investorrelations@dixoninfo.com</x:v>
      </x:c>
      <x:c r="H117" s="30" t="str">
        <x:f>IF(ISNUMBER(SEARCH(":1",AC117)),"已验证有效",IF(ISNUMBER(SEARCH(":3",AC117)),"验证不确定",IF(ISNUMBER(SEARCH(":0",AC117)),"接口未能检测",IF(ISNUMBER(SEARCH(":2",AC117)),"判定无效",IF(V117&lt;&gt;"","官网已确认-未验证","无邮箱")))))</x:f>
        <x:v>已验证有效</x:v>
      </x:c>
      <x:c r="I117" s="30" t="str">
        <x:v>+91 120 473 7200</x:v>
      </x:c>
      <x:c r="J117" s="30" t="str">
        <x:v>www.dixoninfo.com</x:v>
      </x:c>
      <x:c r="K117" s="35" t="n">
        <x:f>ROUND((IF(H117="已验证有效",40,IF(V117&lt;&gt;"",20,0))+IF(ISNUMBER(SEARCH("状态1",Y117)),25,0)+IF(J117&lt;&gt;"",20,0)+IF(AA117&lt;&gt;"",15,0))/100,2)</x:f>
        <x:v>1</x:v>
      </x:c>
      <x:c r="L117" s="30" t="str">
        <x:v>待联系</x:v>
      </x:c>
      <x:c r="M117" s="30" t="str"/>
      <x:c r="N117" s="30" t="str">
        <x:v>B-14 &amp; 15 , NOIDA PHASE II</x:v>
      </x:c>
      <x:c r="O117" s="30" t="str"/>
      <x:c r="P117" s="30" t="str">
        <x:v>暂无经营范围信息</x:v>
      </x:c>
      <x:c r="Q117" s="32" t="n">
        <x:v>7587</x:v>
      </x:c>
      <x:c r="R117" s="32" t="n">
        <x:v>413868</x:v>
      </x:c>
      <x:c r="S117" s="33" t="n">
        <x:v>0.0183</x:v>
      </x:c>
      <x:c r="T117" s="34" t="n">
        <x:v>45868.666666666664</x:v>
      </x:c>
      <x:c r="U117" s="30" t="str">
        <x:v>investorrelations@dixoninfo.com</x:v>
      </x:c>
      <x:c r="V117" s="30" t="str"/>
      <x:c r="W117" s="30" t="str">
        <x:v>+91 120 473 7200</x:v>
      </x:c>
      <x:c r="X117" s="30" t="str"/>
      <x:c r="Y117" s="30" t="str">
        <x:v>+91 120 473 7200:状态1/类型1/WhatsApp2</x:v>
      </x:c>
      <x:c r="Z117" s="30" t="str"/>
      <x:c r="AA117" s="30" t="str">
        <x:v>https://www.linkedin.com/in/dixon-technologies-india-limited-625197186</x:v>
      </x:c>
      <x:c r="AB117" s="30" t="str"/>
      <x:c r="AC117" s="30" t="str">
        <x:v>investorrelations@dixoninfo.com:1</x:v>
      </x:c>
      <x:c r="AD117" s="30" t="str">
        <x:v>橡胶胶带；LED电视零部件</x:v>
      </x:c>
      <x:c r="AE117" s="30" t="str">
        <x:v>橡胶；胶带；TPE；LED电视；零部件</x:v>
      </x:c>
      <x:c r="AF117" s="30" t="str">
        <x:v>RUBBER,TAPE,TPE,300X4.5X2,32,43,55DOTBL-0609-0000019-10-PARTS FOR LED TV-FOCPARTS FOR LED TV</x:v>
      </x:c>
      <x:c r="AG117" s="30" t="str">
        <x:v>橡胶胶粘带；LED电视配件；TPE胶带；电视零部件；橡胶条</x:v>
      </x:c>
      <x:c r="AH117" s="30" t="str">
        <x:v>橡胶树脂；TPE聚合物；塑料；金属；电子元件</x:v>
      </x:c>
      <x:c r="AI117" s="30" t="str">
        <x:v>LED电视；显示器；显示设备；家用电器；消费电子</x:v>
      </x:c>
      <x:c r="AJ117" s="30" t="str">
        <x:v>胶带</x:v>
      </x:c>
      <x:c r="AK117" s="30" t="str">
        <x:v>tape-buyers-fuzzy-search</x:v>
      </x:c>
      <x:c r="AL117" s="30" t="str">
        <x:v>UpKuajing customs company contact API</x:v>
      </x:c>
      <x:c r="AM117" s="30" t="str"/>
      <x:c r="AN117" s="30" t="str"/>
      <x:c r="AO117" s="34" t="n">
        <x:v>46220</x:v>
      </x:c>
    </x:row>
    <x:row r="118" ht="44" customHeight="1">
      <x:c r="A118" s="30" t="str">
        <x:v>API联系方式已获取</x:v>
      </x:c>
      <x:c r="B118" s="30" t="str">
        <x:v>常规-全球</x:v>
      </x:c>
      <x:c r="C118" s="30" t="str">
        <x:v>胶带</x:v>
      </x:c>
      <x:c r="D118" s="31" t="str">
        <x:v>1945196</x:v>
      </x:c>
      <x:c r="E118" s="30" t="str">
        <x:v>laarcourier express s.a.</x:v>
      </x:c>
      <x:c r="F118" s="30" t="str">
        <x:v>厄瓜多尔</x:v>
      </x:c>
      <x:c r="G118" s="30" t="str">
        <x:v>ccoque@grupolaar.com</x:v>
      </x:c>
      <x:c r="H118" s="30" t="str">
        <x:f>IF(ISNUMBER(SEARCH(":1",AC118)),"已验证有效",IF(ISNUMBER(SEARCH(":3",AC118)),"验证不确定",IF(ISNUMBER(SEARCH(":0",AC118)),"接口未能检测",IF(ISNUMBER(SEARCH(":2",AC118)),"判定无效",IF(V118&lt;&gt;"","官网已确认-未验证","无邮箱")))))</x:f>
        <x:v>已验证有效</x:v>
      </x:c>
      <x:c r="I118" s="30" t="str">
        <x:v>+593 2-396-0000</x:v>
      </x:c>
      <x:c r="J118" s="30" t="str">
        <x:v>www.laarcourier.com</x:v>
      </x:c>
      <x:c r="K118" s="35" t="n">
        <x:f>ROUND((IF(H118="已验证有效",40,IF(V118&lt;&gt;"",20,0))+IF(ISNUMBER(SEARCH("状态1",Y118)),25,0)+IF(J118&lt;&gt;"",20,0)+IF(AA118&lt;&gt;"",15,0))/100,2)</x:f>
        <x:v>0.85</x:v>
      </x:c>
      <x:c r="L118" s="30" t="str">
        <x:v>待联系</x:v>
      </x:c>
      <x:c r="M118" s="30" t="str"/>
      <x:c r="N118" s="30" t="str">
        <x:v>GRUPO LAAR , DE LOS CIPRESES N26 , CARCELEN INDUSTRIAL</x:v>
      </x:c>
      <x:c r="O118" s="30" t="str"/>
      <x:c r="P118" s="30" t="str">
        <x:v>暂无经营范围信息</x:v>
      </x:c>
      <x:c r="Q118" s="32" t="n">
        <x:v>6944</x:v>
      </x:c>
      <x:c r="R118" s="32" t="n">
        <x:v>1729929</x:v>
      </x:c>
      <x:c r="S118" s="33" t="n">
        <x:v>0.004</x:v>
      </x:c>
      <x:c r="T118" s="34" t="n">
        <x:v>46125.666666666664</x:v>
      </x:c>
      <x:c r="U118" s="30" t="str">
        <x:v>ccoque@grupolaar.com</x:v>
      </x:c>
      <x:c r="V118" s="30" t="str"/>
      <x:c r="W118" s="30" t="str">
        <x:v>+593 2-396-0000</x:v>
      </x:c>
      <x:c r="X118" s="30" t="str"/>
      <x:c r="Y118" s="30" t="str">
        <x:v>+593 2-396-0000:状态1/类型1/WhatsApp2</x:v>
      </x:c>
      <x:c r="Z118" s="30" t="str"/>
      <x:c r="AA118" s="30" t="str"/>
      <x:c r="AB118" s="30" t="str"/>
      <x:c r="AC118" s="30" t="str">
        <x:v>ccoque@grupolaar.com:1</x:v>
      </x:c>
      <x:c r="AD118" s="30" t="str"/>
      <x:c r="AE118" s="30" t="str">
        <x:v>coffee maker；glove；bedspread；pressure transmitter</x:v>
      </x:c>
      <x:c r="AF118" s="30" t="str">
        <x:v>TWO-PIECE SWIMSUIT 35911615558 SOMBRERO DE COPA VACIO 10712856281 VESTIDO 9850584530 SOMBRERO DE COPA VACIO 89050573348 TWO-PIECE SWIMSUIT 4804392116 REPAIR TAPE 44363863818 LONG SLEEVE CREW NECK FOR</x:v>
      </x:c>
      <x:c r="AG118" s="30" t="str"/>
      <x:c r="AH118" s="30" t="str"/>
      <x:c r="AI118" s="30" t="str"/>
      <x:c r="AJ118" s="30" t="str">
        <x:v>胶带</x:v>
      </x:c>
      <x:c r="AK118" s="30" t="str">
        <x:v>tape-buyers-fuzzy-search</x:v>
      </x:c>
      <x:c r="AL118" s="30" t="str">
        <x:v>UpKuajing customs company contact API</x:v>
      </x:c>
      <x:c r="AM118" s="30" t="str"/>
      <x:c r="AN118" s="30" t="str"/>
      <x:c r="AO118" s="34" t="n">
        <x:v>46220</x:v>
      </x:c>
    </x:row>
    <x:row r="119" ht="44" customHeight="1">
      <x:c r="A119" s="30" t="str">
        <x:v>已补充有效决策人邮箱</x:v>
      </x:c>
      <x:c r="B119" s="30" t="str">
        <x:v>常规-全球</x:v>
      </x:c>
      <x:c r="C119" s="30" t="str">
        <x:v>胶带</x:v>
      </x:c>
      <x:c r="D119" s="31" t="str">
        <x:v>20189128</x:v>
      </x:c>
      <x:c r="E119" s="30" t="str">
        <x:v>SAMSUNG INDIA ELECTRONICS PRIVATE LIMITED</x:v>
      </x:c>
      <x:c r="F119" s="30" t="str">
        <x:v>印度</x:v>
      </x:c>
      <x:c r="G119" s="30" t="str">
        <x:v>kiran.shindemumbai@gmail.com</x:v>
      </x:c>
      <x:c r="H119" s="30" t="str">
        <x:f>IF(ISNUMBER(SEARCH(":1",AC119)),"已验证有效",IF(ISNUMBER(SEARCH(":3",AC119)),"验证不确定",IF(ISNUMBER(SEARCH(":0",AC119)),"接口未能检测",IF(ISNUMBER(SEARCH(":2",AC119)),"判定无效",IF(V119&lt;&gt;"","官网已确认-未验证","无邮箱")))))</x:f>
        <x:v>已验证有效</x:v>
      </x:c>
      <x:c r="I119" s="30" t="str">
        <x:v>+91 124 488 1234</x:v>
      </x:c>
      <x:c r="J119" s="30" t="str">
        <x:v>www.samsung.com/in</x:v>
      </x:c>
      <x:c r="K119" s="35" t="n">
        <x:f>ROUND((IF(H119="已验证有效",40,IF(V119&lt;&gt;"",20,0))+IF(ISNUMBER(SEARCH("状态1",Y119)),25,0)+IF(J119&lt;&gt;"",20,0)+IF(AA119&lt;&gt;"",15,0))/100,2)</x:f>
        <x:v>1</x:v>
      </x:c>
      <x:c r="L119" s="30" t="str">
        <x:v>待联系</x:v>
      </x:c>
      <x:c r="M119" s="30" t="str"/>
      <x:c r="N119" s="30" t="str">
        <x:v>SIXTH FLOOR, DLF CENTRE , SANSAD MARG</x:v>
      </x:c>
      <x:c r="O119" s="30" t="str"/>
      <x:c r="P119" s="30" t="str">
        <x:v>提供工业和商业电气设备和其他设备，包括电源转换器（即交流到直流和直流到交流）、电源、浪涌抑制器以及适用于工业型和消费型设备的类似设备</x:v>
      </x:c>
      <x:c r="Q119" s="32" t="n">
        <x:v>5800</x:v>
      </x:c>
      <x:c r="R119" s="32" t="n">
        <x:v>1405688</x:v>
      </x:c>
      <x:c r="S119" s="33" t="n">
        <x:v>0.0040999999999999995</x:v>
      </x:c>
      <x:c r="T119" s="34" t="n">
        <x:v>45868.666666666664</x:v>
      </x:c>
      <x:c r="U119" s="30" t="str">
        <x:v>komal.neb@samsung.com; kiran.shindemumbai@gmail.com; kiranshindemumbai@gmail.com</x:v>
      </x:c>
      <x:c r="V119" s="30" t="str"/>
      <x:c r="W119" s="30" t="str">
        <x:v>+91 124 488 1234</x:v>
      </x:c>
      <x:c r="X119" s="30" t="str"/>
      <x:c r="Y119" s="30" t="str">
        <x:v>+91 124 488 1234:状态1/类型1/WhatsApp2</x:v>
      </x:c>
      <x:c r="Z119" s="30" t="str"/>
      <x:c r="AA119" s="30" t="str">
        <x:v>https://www.linkedin.com/in/kiran-shinde-3a05091a</x:v>
      </x:c>
      <x:c r="AB119" s="30" t="str"/>
      <x:c r="AC119" s="30" t="str">
        <x:v>komal.neb@samsung.com:2; kiran.shindemumbai@gmail.com:1; kiranshindemumbai@gmail.com:1</x:v>
      </x:c>
      <x:c r="AD119" s="30" t="str"/>
      <x:c r="AE119" s="30" t="str"/>
      <x:c r="AF119" s="30" t="str">
        <x:v>TAPE-SINGLE FACE PAPER,T0.14,W75,L400M,B (0203-007500)(CEPANO:C020-25-0017622)TAPE-SINGLE FACE PAPER,T0.14,W75,L400M,B (0203-007500)(CEPA</x:v>
      </x:c>
      <x:c r="AG119" s="30" t="str"/>
      <x:c r="AH119" s="30" t="str"/>
      <x:c r="AI119" s="30" t="str"/>
      <x:c r="AJ119" s="30" t="str">
        <x:v>胶带</x:v>
      </x:c>
      <x:c r="AK119" s="30" t="str">
        <x:v>tape-buyers-fuzzy-search</x:v>
      </x:c>
      <x:c r="AL119" s="30" t="str">
        <x:v>UpKuajing customs company contact API; UpKuajing reviewed person contact API</x:v>
      </x:c>
      <x:c r="AM119" s="30" t="str"/>
      <x:c r="AN119" s="30" t="str">
        <x:v>人物补充：Kiran Shinde（Regional Distribution Manager）；供应链相关岗位，且公司匹配 Samsung India。</x:v>
      </x:c>
      <x:c r="AO119" s="34" t="n">
        <x:v>46220</x:v>
      </x:c>
    </x:row>
    <x:row r="120" ht="44" customHeight="1">
      <x:c r="A120" s="30" t="str">
        <x:v>API联系方式已获取</x:v>
      </x:c>
      <x:c r="B120" s="30" t="str">
        <x:v>常规-全球</x:v>
      </x:c>
      <x:c r="C120" s="30" t="str">
        <x:v>胶带</x:v>
      </x:c>
      <x:c r="D120" s="31" t="str">
        <x:v>20195417</x:v>
      </x:c>
      <x:c r="E120" s="30" t="str">
        <x:v>VIVO MOBILE INDIA PRIVATE LIMITED</x:v>
      </x:c>
      <x:c r="F120" s="30" t="str">
        <x:v>印度</x:v>
      </x:c>
      <x:c r="G120" s="30" t="str">
        <x:v>support.in@vivo.com</x:v>
      </x:c>
      <x:c r="H120" s="30" t="str">
        <x:f>IF(ISNUMBER(SEARCH(":1",AC120)),"已验证有效",IF(ISNUMBER(SEARCH(":3",AC120)),"验证不确定",IF(ISNUMBER(SEARCH(":0",AC120)),"接口未能检测",IF(ISNUMBER(SEARCH(":2",AC120)),"判定无效",IF(V120&lt;&gt;"","官网已确认-未验证","无邮箱")))))</x:f>
        <x:v>已验证有效</x:v>
      </x:c>
      <x:c r="I120" s="30" t="str">
        <x:v>18002083388</x:v>
      </x:c>
      <x:c r="J120" s="30" t="str">
        <x:v>www.vivo.co.in</x:v>
      </x:c>
      <x:c r="K120" s="35" t="n">
        <x:f>ROUND((IF(H120="已验证有效",40,IF(V120&lt;&gt;"",20,0))+IF(ISNUMBER(SEARCH("状态1",Y120)),25,0)+IF(J120&lt;&gt;"",20,0)+IF(AA120&lt;&gt;"",15,0))/100,2)</x:f>
        <x:v>1</x:v>
      </x:c>
      <x:c r="L120" s="30" t="str">
        <x:v>待联系</x:v>
      </x:c>
      <x:c r="M120" s="30" t="str"/>
      <x:c r="N120" s="30" t="str">
        <x:v>VILLAGE WAZIRABAD, SECTOR-54 , 10TH &amp; 11TH FLOOR, PALM SPRINGS PLAZA (COMPLEX)</x:v>
      </x:c>
      <x:c r="O120" s="30" t="str"/>
      <x:c r="P120" s="30" t="str">
        <x:v>无线通讯产品</x:v>
      </x:c>
      <x:c r="Q120" s="32" t="n">
        <x:v>4462</x:v>
      </x:c>
      <x:c r="R120" s="32" t="n">
        <x:v>740579</x:v>
      </x:c>
      <x:c r="S120" s="33" t="n">
        <x:v>0.006</x:v>
      </x:c>
      <x:c r="T120" s="34" t="n">
        <x:v>45868.666666666664</x:v>
      </x:c>
      <x:c r="U120" s="30" t="str">
        <x:v>support.in@vivo.com; vcare@vivo.com</x:v>
      </x:c>
      <x:c r="V120" s="30" t="str"/>
      <x:c r="W120" s="30" t="str">
        <x:v>01206283388; 18001023388; 18002083388; 18002084488; +91 120 628 3388</x:v>
      </x:c>
      <x:c r="X120" s="30" t="str"/>
      <x:c r="Y120" s="30" t="str">
        <x:v>01206283388:状态2/类型1/WhatsApp2; 18001023388:状态2/类型0/WhatsApp2; 18002083388:状态1/类型3/WhatsApp2; 18002084488:状态2/类型0/WhatsApp2; +91 120 628 3388:状态1/类型1/WhatsApp2</x:v>
      </x:c>
      <x:c r="Z120" s="30" t="str"/>
      <x:c r="AA120" s="30" t="str">
        <x:v>https://www.facebook.com/vivoIndia; https://www.instagram.com/accounts/login; https://www.linkedin.com/company/vivo-india; https://twitter.com/Vivo_India; https://www.youtube.com/c/VivoIndiaofficial</x:v>
      </x:c>
      <x:c r="AB120" s="30" t="str"/>
      <x:c r="AC120" s="30" t="str">
        <x:v>support.in@vivo.com:1; vcare@vivo.com:1</x:v>
      </x:c>
      <x:c r="AD120" s="30" t="str"/>
      <x:c r="AE120" s="30" t="str"/>
      <x:c r="AF120" s="30" t="str">
        <x:v>5181720 WATER CONTACT INDICATOR TAPE (PAPER) (PARTS FOR MFG.OF MOBILE PHONE)5181720 WATER CONTACT INDICATOR TAPE (PAPER) (PARTS FOR MFG.</x:v>
      </x:c>
      <x:c r="AG120" s="30" t="str"/>
      <x:c r="AH120" s="30" t="str"/>
      <x:c r="AI120" s="30" t="str"/>
      <x:c r="AJ120" s="30" t="str">
        <x:v>胶带</x:v>
      </x:c>
      <x:c r="AK120" s="30" t="str">
        <x:v>tape-buyers-fuzzy-search</x:v>
      </x:c>
      <x:c r="AL120" s="30" t="str">
        <x:v>UpKuajing customs company contact API</x:v>
      </x:c>
      <x:c r="AM120" s="30" t="str"/>
      <x:c r="AN120" s="30" t="str"/>
      <x:c r="AO120" s="34" t="n">
        <x:v>46220</x:v>
      </x:c>
    </x:row>
    <x:row r="121" ht="44" customHeight="1">
      <x:c r="A121" s="30" t="str">
        <x:v>API联系方式已获取</x:v>
      </x:c>
      <x:c r="B121" s="30" t="str">
        <x:v>常规-全球</x:v>
      </x:c>
      <x:c r="C121" s="30" t="str">
        <x:v>胶带</x:v>
      </x:c>
      <x:c r="D121" s="31" t="str">
        <x:v>80133</x:v>
      </x:c>
      <x:c r="E121" s="30" t="str">
        <x:v>brandix apparel india pvt.ltd.</x:v>
      </x:c>
      <x:c r="F121" s="30" t="str">
        <x:v>印度</x:v>
      </x:c>
      <x:c r="G121" s="30" t="str">
        <x:v>info@brandix.com</x:v>
      </x:c>
      <x:c r="H121" s="30" t="str">
        <x:f>IF(ISNUMBER(SEARCH(":1",AC121)),"已验证有效",IF(ISNUMBER(SEARCH(":3",AC121)),"验证不确定",IF(ISNUMBER(SEARCH(":0",AC121)),"接口未能检测",IF(ISNUMBER(SEARCH(":2",AC121)),"判定无效",IF(V121&lt;&gt;"","官网已确认-未验证","无邮箱")))))</x:f>
        <x:v>已验证有效</x:v>
      </x:c>
      <x:c r="I121" s="30" t="str"/>
      <x:c r="J121" s="30" t="str">
        <x:v>www.brandix.com</x:v>
      </x:c>
      <x:c r="K121" s="35" t="n">
        <x:f>ROUND((IF(H121="已验证有效",40,IF(V121&lt;&gt;"",20,0))+IF(ISNUMBER(SEARCH("状态1",Y121)),25,0)+IF(J121&lt;&gt;"",20,0)+IF(AA121&lt;&gt;"",15,0))/100,2)</x:f>
        <x:v>0.6</x:v>
      </x:c>
      <x:c r="L121" s="30" t="str">
        <x:v>待联系</x:v>
      </x:c>
      <x:c r="M121" s="30" t="str"/>
      <x:c r="N121" s="30" t="str">
        <x:v>409 galle road colombo 3 sri lanka</x:v>
      </x:c>
      <x:c r="O121" s="30" t="str"/>
      <x:c r="P121" s="30" t="str">
        <x:v>弹性纤维，箭头，8，衬衫，化学纤维，有机棉，胸罩尺寸，结构，针织面料，针织面料，手牌，酋长，陶氏化学，桌子，斜纹布，橡胶纱，蓝色</x:v>
      </x:c>
      <x:c r="Q121" s="32" t="n">
        <x:v>4245</x:v>
      </x:c>
      <x:c r="R121" s="32" t="n">
        <x:v>139671</x:v>
      </x:c>
      <x:c r="S121" s="33" t="n">
        <x:v>0.0304</x:v>
      </x:c>
      <x:c r="T121" s="34" t="n">
        <x:v>46141.666666666664</x:v>
      </x:c>
      <x:c r="U121" s="30" t="str">
        <x:v>info@brandix.com</x:v>
      </x:c>
      <x:c r="V121" s="30" t="str"/>
      <x:c r="W121" s="30" t="str"/>
      <x:c r="X121" s="30" t="str"/>
      <x:c r="Y121" s="30" t="str"/>
      <x:c r="Z121" s="30" t="str"/>
      <x:c r="AA121" s="30" t="str"/>
      <x:c r="AB121" s="30" t="str"/>
      <x:c r="AC121" s="30" t="str">
        <x:v>info@brandix.com:1</x:v>
      </x:c>
      <x:c r="AD121" s="30" t="str"/>
      <x:c r="AE121" s="30" t="str">
        <x:v>弹性织物；胶带；窄幅织物</x:v>
      </x:c>
      <x:c r="AF121" s="30" t="str">
        <x:v>NARROW WOVEN FABRIC ELASTIC TAPE 7000 MTRS BEL 8588023</x:v>
      </x:c>
      <x:c r="AG121" s="30" t="str"/>
      <x:c r="AH121" s="30" t="str"/>
      <x:c r="AI121" s="30" t="str"/>
      <x:c r="AJ121" s="30" t="str">
        <x:v>胶带</x:v>
      </x:c>
      <x:c r="AK121" s="30" t="str">
        <x:v>tape-buyers-fuzzy-search</x:v>
      </x:c>
      <x:c r="AL121" s="30" t="str">
        <x:v>UpKuajing customs company contact API</x:v>
      </x:c>
      <x:c r="AM121" s="30" t="str"/>
      <x:c r="AN121" s="30" t="str"/>
      <x:c r="AO121" s="34" t="n">
        <x:v>46220</x:v>
      </x:c>
    </x:row>
    <x:row r="122" ht="44" customHeight="1">
      <x:c r="A122" s="30" t="str">
        <x:v>API联系方式已获取</x:v>
      </x:c>
      <x:c r="B122" s="30" t="str">
        <x:v>常规-全球</x:v>
      </x:c>
      <x:c r="C122" s="30" t="str">
        <x:v>胶带</x:v>
      </x:c>
      <x:c r="D122" s="31" t="str">
        <x:v>4421112</x:v>
      </x:c>
      <x:c r="E122" s="30" t="str">
        <x:v>công ty tnhh honest việt nam</x:v>
      </x:c>
      <x:c r="F122" s="30" t="str">
        <x:v>越南</x:v>
      </x:c>
      <x:c r="G122" s="30" t="str">
        <x:v>hue.dt@honestvietnam.com.vn</x:v>
      </x:c>
      <x:c r="H122" s="30" t="str">
        <x:f>IF(ISNUMBER(SEARCH(":1",AC122)),"已验证有效",IF(ISNUMBER(SEARCH(":3",AC122)),"验证不确定",IF(ISNUMBER(SEARCH(":0",AC122)),"接口未能检测",IF(ISNUMBER(SEARCH(":2",AC122)),"判定无效",IF(V122&lt;&gt;"","官网已确认-未验证","无邮箱")))))</x:f>
        <x:v>验证不确定</x:v>
      </x:c>
      <x:c r="I122" s="30" t="str">
        <x:v>+84 24 3582 2456</x:v>
      </x:c>
      <x:c r="J122" s="30" t="str"/>
      <x:c r="K122" s="35" t="n">
        <x:f>ROUND((IF(H122="已验证有效",40,IF(V122&lt;&gt;"",20,0))+IF(ISNUMBER(SEARCH("状态1",Y122)),25,0)+IF(J122&lt;&gt;"",20,0)+IF(AA122&lt;&gt;"",15,0))/100,2)</x:f>
        <x:v>0.45</x:v>
      </x:c>
      <x:c r="L122" s="30" t="str">
        <x:v>待联系</x:v>
      </x:c>
      <x:c r="M122" s="30" t="str"/>
      <x:c r="N122" s="30" t="str">
        <x:v>khu công nghiệp nội bài, 8c x. quang tiến, h. sóc sơn,hà nội</x:v>
      </x:c>
      <x:c r="O122" s="30" t="str"/>
      <x:c r="P122" s="30" t="str">
        <x:v>生铁颗粒、唱片套、电线、显示器、消防车、铜产品、淀粉胶、空气过滤器、耦合电缆、液压机、开口销、扳手套筒、面板、塑料袋、钢件、轮胎、发光二极管、塞子、金雅拓、相机</x:v>
      </x:c>
      <x:c r="Q122" s="32" t="n">
        <x:v>3623</x:v>
      </x:c>
      <x:c r="R122" s="32" t="n">
        <x:v>37338</x:v>
      </x:c>
      <x:c r="S122" s="33" t="n">
        <x:v>0.09699999999999999</x:v>
      </x:c>
      <x:c r="T122" s="34" t="n">
        <x:v>46163.666666666664</x:v>
      </x:c>
      <x:c r="U122" s="30" t="str">
        <x:v>hue.dt@honestcom.vn</x:v>
      </x:c>
      <x:c r="V122" s="30" t="str">
        <x:v>hue.dt@honestvietnam.com.vn</x:v>
      </x:c>
      <x:c r="W122" s="30" t="str"/>
      <x:c r="X122" s="30" t="str">
        <x:v>+84 24 3582 2456</x:v>
      </x:c>
      <x:c r="Y122" s="30" t="str">
        <x:v>+84 24 3582 2456:状态1/类型1/WhatsApp0</x:v>
      </x:c>
      <x:c r="Z122" s="30" t="str"/>
      <x:c r="AA122" s="30" t="str"/>
      <x:c r="AB122" s="30" t="str"/>
      <x:c r="AC122" s="30" t="str">
        <x:v>hue.dt@honestcom.vn:2; hue.dt@honestvietnam.com.vn:3</x:v>
      </x:c>
      <x:c r="AD122" s="30" t="str"/>
      <x:c r="AE122" s="30" t="str">
        <x:v>camshaft；胶粘带</x:v>
      </x:c>
      <x:c r="AF122" s="30" t="str">
        <x:v>PS-1#&amp;Trục bằng thép</x:v>
      </x:c>
      <x:c r="AG122" s="30" t="str"/>
      <x:c r="AH122" s="30" t="str"/>
      <x:c r="AI122" s="30" t="str"/>
      <x:c r="AJ122" s="30" t="str">
        <x:v>胶带</x:v>
      </x:c>
      <x:c r="AK122" s="30" t="str">
        <x:v>tape-buyers-fuzzy-search</x:v>
      </x:c>
      <x:c r="AL122" s="30" t="str">
        <x:v>UpKuajing customs company contact API</x:v>
      </x:c>
      <x:c r="AM122" s="30" t="str">
        <x:v>https://www.hhtp.gov.vn/media/thong-bao-tuyen-dung/2025_07/2bao-cao-de-xuat-cap-lai-gpmt_compressed-1-389.pdf</x:v>
      </x:c>
      <x:c r="AN122" s="30" t="str">
        <x:v>政府公开文件；2025 年企业环境许可文件列出的副总经理邮箱和公司电话 024 35822456。 验证状态=3。</x:v>
      </x:c>
      <x:c r="AO122" s="34" t="n">
        <x:v>46220</x:v>
      </x:c>
    </x:row>
    <x:row r="123" ht="44" customHeight="1">
      <x:c r="A123" s="30" t="str">
        <x:v>API联系方式已获取</x:v>
      </x:c>
      <x:c r="B123" s="30" t="str">
        <x:v>常规-全球</x:v>
      </x:c>
      <x:c r="C123" s="30" t="str">
        <x:v>胶带</x:v>
      </x:c>
      <x:c r="D123" s="31" t="str">
        <x:v>369752</x:v>
      </x:c>
      <x:c r="E123" s="30" t="str">
        <x:v>genus electrotech ltd.</x:v>
      </x:c>
      <x:c r="F123" s="30" t="str">
        <x:v>印度</x:v>
      </x:c>
      <x:c r="G123" s="30" t="str">
        <x:v>info@genuselectrotech.com</x:v>
      </x:c>
      <x:c r="H123" s="30" t="str">
        <x:f>IF(ISNUMBER(SEARCH(":1",AC123)),"已验证有效",IF(ISNUMBER(SEARCH(":3",AC123)),"验证不确定",IF(ISNUMBER(SEARCH(":0",AC123)),"接口未能检测",IF(ISNUMBER(SEARCH(":2",AC123)),"判定无效",IF(V123&lt;&gt;"","官网已确认-未验证","无邮箱")))))</x:f>
        <x:v>已验证有效</x:v>
      </x:c>
      <x:c r="I123" s="30" t="str">
        <x:v>+91 2836 240 872</x:v>
      </x:c>
      <x:c r="J123" s="30" t="str">
        <x:v>www.genuselectrotech.co.in</x:v>
      </x:c>
      <x:c r="K123" s="35" t="n">
        <x:f>ROUND((IF(H123="已验证有效",40,IF(V123&lt;&gt;"",20,0))+IF(ISNUMBER(SEARCH("状态1",Y123)),25,0)+IF(J123&lt;&gt;"",20,0)+IF(AA123&lt;&gt;"",15,0))/100,2)</x:f>
        <x:v>1</x:v>
      </x:c>
      <x:c r="L123" s="30" t="str">
        <x:v>待联系</x:v>
      </x:c>
      <x:c r="M123" s="30" t="str"/>
      <x:c r="N123" s="30" t="str">
        <x:v>survey no.43, galpadar road. kutch, 370110. india</x:v>
      </x:c>
      <x:c r="O123" s="30" t="str"/>
      <x:c r="P123" s="30" t="str">
        <x:v>三孔，编带机，5电源，说明书，压力开关，外壳，格式，针，256，70路灯，铁氟龙，雷莫，洗衣机，印刷，绝缘垫，机器，绝缘体，锁紧套，12灯泡</x:v>
      </x:c>
      <x:c r="Q123" s="32" t="n">
        <x:v>2538</x:v>
      </x:c>
      <x:c r="R123" s="32" t="n">
        <x:v>124084</x:v>
      </x:c>
      <x:c r="S123" s="33" t="n">
        <x:v>0.020499999999999997</x:v>
      </x:c>
      <x:c r="T123" s="34" t="n">
        <x:v>46068.666666666664</x:v>
      </x:c>
      <x:c r="U123" s="30" t="str">
        <x:v>info@genuselectrotech.com; sales@divicon.com</x:v>
      </x:c>
      <x:c r="V123" s="30" t="str"/>
      <x:c r="W123" s="30" t="str">
        <x:v>+91 2836 240 872; +91 99789 59714; +91 99789 59735</x:v>
      </x:c>
      <x:c r="X123" s="30" t="str"/>
      <x:c r="Y123" s="30" t="str">
        <x:v>+91 2836 240 872:状态1/类型1/WhatsApp2; +91 99789 59714:状态1/类型2/WhatsApp1; +91 99789 59735:状态1/类型2/WhatsApp1</x:v>
      </x:c>
      <x:c r="Z123" s="30" t="str">
        <x:v>+91 99789 59714; +91 99789 59735</x:v>
      </x:c>
      <x:c r="AA123" s="30" t="str">
        <x:v>https://www.facebook.com/genuselectrotech10; https://www.instagram.com/genuselectrotechlimited; https://www.linkedin.com/company/genuselectrotechltd</x:v>
      </x:c>
      <x:c r="AB123" s="30" t="str"/>
      <x:c r="AC123" s="30" t="str">
        <x:v>info@genuselectrotech.com:1; sales@divicon.com:2</x:v>
      </x:c>
      <x:c r="AD123" s="30" t="str"/>
      <x:c r="AE123" s="30" t="str">
        <x:v>fixture；ail；vhb tape</x:v>
      </x:c>
      <x:c r="AF123" s="30" t="str">
        <x:v>VHB TAPE PRESSURE HOLDING FIXTURE REST DETAILS AS PER INV &amp;PL VHB TAPE PRESSURE HOLDING FIXTURE REST DETAILS AS PER INV &amp;</x:v>
      </x:c>
      <x:c r="AG123" s="30" t="str"/>
      <x:c r="AH123" s="30" t="str"/>
      <x:c r="AI123" s="30" t="str"/>
      <x:c r="AJ123" s="30" t="str">
        <x:v>胶带</x:v>
      </x:c>
      <x:c r="AK123" s="30" t="str">
        <x:v>tape-buyers-fuzzy-search</x:v>
      </x:c>
      <x:c r="AL123" s="30" t="str">
        <x:v>UpKuajing customs company contact API</x:v>
      </x:c>
      <x:c r="AM123" s="30" t="str"/>
      <x:c r="AN123" s="30" t="str"/>
      <x:c r="AO123" s="34" t="n">
        <x:v>46220</x:v>
      </x:c>
    </x:row>
    <x:row r="124" ht="44" customHeight="1">
      <x:c r="A124" s="30" t="str">
        <x:v>API联系方式已获取</x:v>
      </x:c>
      <x:c r="B124" s="30" t="str">
        <x:v>常规-全球</x:v>
      </x:c>
      <x:c r="C124" s="30" t="str">
        <x:v>胶带</x:v>
      </x:c>
      <x:c r="D124" s="31" t="str">
        <x:v>67944548</x:v>
      </x:c>
      <x:c r="E124" s="30" t="str">
        <x:v>oriental commerce co.ltd.</x:v>
      </x:c>
      <x:c r="F124" s="30" t="str">
        <x:v>韩国</x:v>
      </x:c>
      <x:c r="G124" s="30" t="str">
        <x:v>sim291@hanmail.net</x:v>
      </x:c>
      <x:c r="H124" s="30" t="str">
        <x:f>IF(ISNUMBER(SEARCH(":1",AC124)),"已验证有效",IF(ISNUMBER(SEARCH(":3",AC124)),"验证不确定",IF(ISNUMBER(SEARCH(":0",AC124)),"接口未能检测",IF(ISNUMBER(SEARCH(":2",AC124)),"判定无效",IF(V124&lt;&gt;"","官网已确认-未验证","无邮箱")))))</x:f>
        <x:v>判定无效</x:v>
      </x:c>
      <x:c r="I124" s="30" t="str">
        <x:v>+82 51-266-7110</x:v>
      </x:c>
      <x:c r="J124" s="30" t="str"/>
      <x:c r="K124" s="35" t="n">
        <x:f>ROUND((IF(H124="已验证有效",40,IF(V124&lt;&gt;"",20,0))+IF(ISNUMBER(SEARCH("状态1",Y124)),25,0)+IF(J124&lt;&gt;"",20,0)+IF(AA124&lt;&gt;"",15,0))/100,2)</x:f>
        <x:v>0.25</x:v>
      </x:c>
      <x:c r="L124" s="30" t="str">
        <x:v>待联系</x:v>
      </x:c>
      <x:c r="M124" s="30" t="str"/>
      <x:c r="N124" s="30" t="str">
        <x:v>316-9 janglim-dong,, saha-gu,busan</x:v>
      </x:c>
      <x:c r="O124" s="30" t="str"/>
      <x:c r="P124" s="30" t="str">
        <x:v>其他纺织，产品</x:v>
      </x:c>
      <x:c r="Q124" s="32" t="n">
        <x:v>2442</x:v>
      </x:c>
      <x:c r="R124" s="32" t="n">
        <x:v>27697</x:v>
      </x:c>
      <x:c r="S124" s="33" t="n">
        <x:v>0.0882</x:v>
      </x:c>
      <x:c r="T124" s="34" t="n">
        <x:v>46171.666666666664</x:v>
      </x:c>
      <x:c r="U124" s="30" t="str">
        <x:v>sim291@hanmail.net</x:v>
      </x:c>
      <x:c r="V124" s="30" t="str"/>
      <x:c r="W124" s="30" t="str">
        <x:v>+82 51-266-7110</x:v>
      </x:c>
      <x:c r="X124" s="30" t="str"/>
      <x:c r="Y124" s="30" t="str">
        <x:v>+82 51-266-7110:状态1/类型1/WhatsApp2</x:v>
      </x:c>
      <x:c r="Z124" s="30" t="str"/>
      <x:c r="AA124" s="30" t="str"/>
      <x:c r="AB124" s="30" t="str"/>
      <x:c r="AC124" s="30" t="str">
        <x:v>sim291@hanmail.net:2</x:v>
      </x:c>
      <x:c r="AD124" s="30" t="str"/>
      <x:c r="AE124" s="30" t="str">
        <x:v>纺织绝缘胶带</x:v>
      </x:c>
      <x:c r="AF124" s="30" t="str">
        <x:v>CLT-26-2037#&amp;Vải dệt đã cao su hóa 200MIC X 50MM X 25M #&amp;VN</x:v>
      </x:c>
      <x:c r="AG124" s="30" t="str"/>
      <x:c r="AH124" s="30" t="str"/>
      <x:c r="AI124" s="30" t="str"/>
      <x:c r="AJ124" s="30" t="str">
        <x:v>胶带</x:v>
      </x:c>
      <x:c r="AK124" s="30" t="str">
        <x:v>tape-buyers-fuzzy-search</x:v>
      </x:c>
      <x:c r="AL124" s="30" t="str">
        <x:v>UpKuajing customs company contact API</x:v>
      </x:c>
      <x:c r="AM124" s="30" t="str"/>
      <x:c r="AN124" s="30" t="str"/>
      <x:c r="AO124" s="34" t="n">
        <x:v>46220</x:v>
      </x:c>
    </x:row>
    <x:row r="125" ht="44" customHeight="1">
      <x:c r="A125" s="30" t="str">
        <x:v>API联系方式已获取</x:v>
      </x:c>
      <x:c r="B125" s="30" t="str">
        <x:v>常规-全球</x:v>
      </x:c>
      <x:c r="C125" s="30" t="str">
        <x:v>胶带</x:v>
      </x:c>
      <x:c r="D125" s="31" t="str">
        <x:v>1005206</x:v>
      </x:c>
      <x:c r="E125" s="30" t="str">
        <x:v>jworld co.ltd.</x:v>
      </x:c>
      <x:c r="F125" s="30" t="str">
        <x:v>韩国</x:v>
      </x:c>
      <x:c r="G125" s="30" t="str">
        <x:v>jworld@jworld21.com</x:v>
      </x:c>
      <x:c r="H125" s="30" t="str">
        <x:f>IF(ISNUMBER(SEARCH(":1",AC125)),"已验证有效",IF(ISNUMBER(SEARCH(":3",AC125)),"验证不确定",IF(ISNUMBER(SEARCH(":0",AC125)),"接口未能检测",IF(ISNUMBER(SEARCH(":2",AC125)),"判定无效",IF(V125&lt;&gt;"","官网已确认-未验证","无邮箱")))))</x:f>
        <x:v>已验证有效</x:v>
      </x:c>
      <x:c r="I125" s="30" t="str">
        <x:v>+82 31-456-8001</x:v>
      </x:c>
      <x:c r="J125" s="30" t="str"/>
      <x:c r="K125" s="35" t="n">
        <x:f>ROUND((IF(H125="已验证有效",40,IF(V125&lt;&gt;"",20,0))+IF(ISNUMBER(SEARCH("状态1",Y125)),25,0)+IF(J125&lt;&gt;"",20,0)+IF(AA125&lt;&gt;"",15,0))/100,2)</x:f>
        <x:v>0.65</x:v>
      </x:c>
      <x:c r="L125" s="30" t="str">
        <x:v>待联系</x:v>
      </x:c>
      <x:c r="M125" s="30" t="str"/>
      <x:c r="N125" s="30" t="str">
        <x:v>suite 905, 16-1, hansol-technotown, dangjeong-dong, gunpo si, 435-831, gyeonggi-do, korea</x:v>
      </x:c>
      <x:c r="O125" s="30" t="str"/>
      <x:c r="P125" s="30" t="str">
        <x:v>胶芯橡胶轮胎、橡胶制品、印刷油墨、硫酸、纺织面料、装饰膜、铝纸、测试仪、丁基、塑料、齿轮、电机、半胶体石墨、塑料、冲压冲孔、塑料聚酯树脂、卷材、丙烯酸树脂、卷筒纸、打印机</x:v>
      </x:c>
      <x:c r="Q125" s="32" t="n">
        <x:v>2311</x:v>
      </x:c>
      <x:c r="R125" s="32" t="n">
        <x:v>13162</x:v>
      </x:c>
      <x:c r="S125" s="33" t="n">
        <x:v>0.17559999999999998</x:v>
      </x:c>
      <x:c r="T125" s="34" t="n">
        <x:v>46080.666666666664</x:v>
      </x:c>
      <x:c r="U125" s="30" t="str">
        <x:v>jworld@jworld21.com</x:v>
      </x:c>
      <x:c r="V125" s="30" t="str"/>
      <x:c r="W125" s="30" t="str">
        <x:v>+82 31-456-8001</x:v>
      </x:c>
      <x:c r="X125" s="30" t="str"/>
      <x:c r="Y125" s="30" t="str">
        <x:v>+82 31-456-8001:状态1/类型1/WhatsApp2</x:v>
      </x:c>
      <x:c r="Z125" s="30" t="str"/>
      <x:c r="AA125" s="30" t="str"/>
      <x:c r="AB125" s="30" t="str"/>
      <x:c r="AC125" s="30" t="str">
        <x:v>jworld@jworld21.com:1</x:v>
      </x:c>
      <x:c r="AD125" s="30" t="str"/>
      <x:c r="AE125" s="30" t="str">
        <x:v>deco film</x:v>
      </x:c>
      <x:c r="AF125" s="30" t="str">
        <x:v>RNDT09754#&amp;Băng dính dùng cho điện thoại di động TAPE WP SUB UB 3SIDE VH301_0219 kích thước 78.73*71.37 mm*mm#&amp;VN</x:v>
      </x:c>
      <x:c r="AG125" s="30" t="str"/>
      <x:c r="AH125" s="30" t="str"/>
      <x:c r="AI125" s="30" t="str"/>
      <x:c r="AJ125" s="30" t="str">
        <x:v>胶带</x:v>
      </x:c>
      <x:c r="AK125" s="30" t="str">
        <x:v>tape-buyers-fuzzy-search</x:v>
      </x:c>
      <x:c r="AL125" s="30" t="str">
        <x:v>UpKuajing customs company contact API</x:v>
      </x:c>
      <x:c r="AM125" s="30" t="str"/>
      <x:c r="AN125" s="30" t="str"/>
      <x:c r="AO125" s="34" t="n">
        <x:v>46220</x:v>
      </x:c>
    </x:row>
    <x:row r="126" ht="44" customHeight="1">
      <x:c r="A126" s="30" t="str">
        <x:v>API联系方式已获取</x:v>
      </x:c>
      <x:c r="B126" s="30" t="str">
        <x:v>常规-全球</x:v>
      </x:c>
      <x:c r="C126" s="30" t="str">
        <x:v>胶带</x:v>
      </x:c>
      <x:c r="D126" s="31" t="str">
        <x:v>28403</x:v>
      </x:c>
      <x:c r="E126" s="30" t="str">
        <x:v>suzuki motor de mexico s a</x:v>
      </x:c>
      <x:c r="F126" s="30" t="str">
        <x:v>墨西哥</x:v>
      </x:c>
      <x:c r="G126" s="30" t="str">
        <x:v>privacidad@suzuki.com.mx</x:v>
      </x:c>
      <x:c r="H126" s="30" t="str">
        <x:f>IF(ISNUMBER(SEARCH(":1",AC126)),"已验证有效",IF(ISNUMBER(SEARCH(":3",AC126)),"验证不确定",IF(ISNUMBER(SEARCH(":0",AC126)),"接口未能检测",IF(ISNUMBER(SEARCH(":2",AC126)),"判定无效",IF(V126&lt;&gt;"","官网已确认-未验证","无邮箱")))))</x:f>
        <x:v>判定无效</x:v>
      </x:c>
      <x:c r="I126" s="30" t="str">
        <x:v>+52 55 5365 2626</x:v>
      </x:c>
      <x:c r="J126" s="30" t="str">
        <x:v>http://www.suzuki.com.mx/</x:v>
      </x:c>
      <x:c r="K126" s="35" t="n">
        <x:f>ROUND((IF(H126="已验证有效",40,IF(V126&lt;&gt;"",20,0))+IF(ISNUMBER(SEARCH("状态1",Y126)),25,0)+IF(J126&lt;&gt;"",20,0)+IF(AA126&lt;&gt;"",15,0))/100,2)</x:f>
        <x:v>0.45</x:v>
      </x:c>
      <x:c r="L126" s="30" t="str">
        <x:v>待联系</x:v>
      </x:c>
      <x:c r="M126" s="30" t="str"/>
      <x:c r="N126" s="30" t="str">
        <x:v>privada de la barranca s/n lote 23 cuautitlán, estado de méxico 54763 méxico</x:v>
      </x:c>
      <x:c r="O126" s="30" t="str"/>
      <x:c r="P126" s="30" t="str">
        <x:v>臂，闩锁，继电器盒，小齿轮，歧管，后视图，后轮毂，7，雨，弹簧垫，气缸头，叉，座椅后部，明矾，旋钮，信号</x:v>
      </x:c>
      <x:c r="Q126" s="32" t="n">
        <x:v>2061</x:v>
      </x:c>
      <x:c r="R126" s="32" t="n">
        <x:v>650623</x:v>
      </x:c>
      <x:c r="S126" s="33" t="n">
        <x:v>0.0032</x:v>
      </x:c>
      <x:c r="T126" s="34" t="n">
        <x:v>46166.666666666664</x:v>
      </x:c>
      <x:c r="U126" s="30" t="str">
        <x:v>privacidad@suzuki.com.mx</x:v>
      </x:c>
      <x:c r="V126" s="30" t="str"/>
      <x:c r="W126" s="30" t="str">
        <x:v>+52 55 5365 2626</x:v>
      </x:c>
      <x:c r="X126" s="30" t="str"/>
      <x:c r="Y126" s="30" t="str">
        <x:v>+52 55 5365 2626:状态1/类型3/WhatsApp2</x:v>
      </x:c>
      <x:c r="Z126" s="30" t="str"/>
      <x:c r="AA126" s="30" t="str"/>
      <x:c r="AB126" s="30" t="str"/>
      <x:c r="AC126" s="30" t="str">
        <x:v>privacidad@suzuki.com.mx:2</x:v>
      </x:c>
      <x:c r="AD126" s="30" t="str"/>
      <x:c r="AE126" s="30" t="str">
        <x:v>绿色胶带；黄色带材</x:v>
      </x:c>
      <x:c r="AF126" s="30" t="str">
        <x:v>CINTA COD 83926 54P10 0CE</x:v>
      </x:c>
      <x:c r="AG126" s="30" t="str"/>
      <x:c r="AH126" s="30" t="str"/>
      <x:c r="AI126" s="30" t="str"/>
      <x:c r="AJ126" s="30" t="str">
        <x:v>胶带</x:v>
      </x:c>
      <x:c r="AK126" s="30" t="str">
        <x:v>tape-buyers-fuzzy-search</x:v>
      </x:c>
      <x:c r="AL126" s="30" t="str">
        <x:v>UpKuajing customs company contact API</x:v>
      </x:c>
      <x:c r="AM126" s="30" t="str"/>
      <x:c r="AN126" s="30" t="str"/>
      <x:c r="AO126" s="34" t="n">
        <x:v>46220</x:v>
      </x:c>
    </x:row>
    <x:row r="127" ht="44" customHeight="1">
      <x:c r="A127" s="30" t="str">
        <x:v>已补充有效决策人邮箱</x:v>
      </x:c>
      <x:c r="B127" s="30" t="str">
        <x:v>常规-全球</x:v>
      </x:c>
      <x:c r="C127" s="30" t="str">
        <x:v>胶带</x:v>
      </x:c>
      <x:c r="D127" s="31" t="str">
        <x:v>368379</x:v>
      </x:c>
      <x:c r="E127" s="30" t="str">
        <x:v>haier appliances india pvt.ltd.</x:v>
      </x:c>
      <x:c r="F127" s="30" t="str">
        <x:v>印度</x:v>
      </x:c>
      <x:c r="G127" s="30" t="str">
        <x:v>chuktiii@gmail.com</x:v>
      </x:c>
      <x:c r="H127" s="30" t="str">
        <x:f>IF(ISNUMBER(SEARCH(":1",AC127)),"已验证有效",IF(ISNUMBER(SEARCH(":3",AC127)),"验证不确定",IF(ISNUMBER(SEARCH(":0",AC127)),"接口未能检测",IF(ISNUMBER(SEARCH(":2",AC127)),"判定无效",IF(V127&lt;&gt;"","官网已确认-未验证","无邮箱")))))</x:f>
        <x:v>已验证有效</x:v>
      </x:c>
      <x:c r="I127" s="30" t="str">
        <x:v>+91 1800 419 9999</x:v>
      </x:c>
      <x:c r="J127" s="30" t="str">
        <x:v>www.haier.com</x:v>
      </x:c>
      <x:c r="K127" s="35" t="n">
        <x:f>ROUND((IF(H127="已验证有效",40,IF(V127&lt;&gt;"",20,0))+IF(ISNUMBER(SEARCH("状态1",Y127)),25,0)+IF(J127&lt;&gt;"",20,0)+IF(AA127&lt;&gt;"",15,0))/100,2)</x:f>
        <x:v>1</x:v>
      </x:c>
      <x:c r="L127" s="30" t="str">
        <x:v>待联系</x:v>
      </x:c>
      <x:c r="M127" s="30" t="str"/>
      <x:c r="N127" s="30" t="str">
        <x:v>b-1/a-14, mohan co-operative industrial estate, mathura road, new delhi-110044</x:v>
      </x:c>
      <x:c r="O127" s="30" t="str"/>
      <x:c r="P127" s="30" t="str">
        <x:v>凸轮部件，口香糖，连接部件，隔板，线束，蛋白石，演示套件，系列，踢脚，棕色纸箱，侧板，销模，阿尔法，干簧片，阻尼弹簧，减震，深灰色，前盖，型密封</x:v>
      </x:c>
      <x:c r="Q127" s="32" t="n">
        <x:v>1941</x:v>
      </x:c>
      <x:c r="R127" s="32" t="n">
        <x:v>308789</x:v>
      </x:c>
      <x:c r="S127" s="33" t="n">
        <x:v>0.0063</x:v>
      </x:c>
      <x:c r="T127" s="34" t="n">
        <x:v>45655.666666666664</x:v>
      </x:c>
      <x:c r="U127" s="30" t="str">
        <x:v>info@haierindia.com; chuktiii@gmail.com</x:v>
      </x:c>
      <x:c r="V127" s="30" t="str">
        <x:v>customercare@haierindia.com</x:v>
      </x:c>
      <x:c r="W127" s="30" t="str"/>
      <x:c r="X127" s="30" t="str">
        <x:v>+91 1800 419 9999; +91 1800 102 9999</x:v>
      </x:c>
      <x:c r="Y127" s="30" t="str">
        <x:v>+91 1800 419 9999:状态1/类型3/WhatsApp2; +91 1800 102 9999:状态3/类型0/WhatsApp0</x:v>
      </x:c>
      <x:c r="Z127" s="30" t="str">
        <x:v>+91 85530 49999</x:v>
      </x:c>
      <x:c r="AA127" s="30" t="str">
        <x:v>https://www.linkedin.com/in/madhumay-panigrahi-528ab842; https://www.facebook.com/madhumay.panigrahi</x:v>
      </x:c>
      <x:c r="AB127" s="30" t="str"/>
      <x:c r="AC127" s="30" t="str">
        <x:v>info@haierindia.com:3; chuktiii@gmail.com:1; customercare@haierindia.com:3</x:v>
      </x:c>
      <x:c r="AD127" s="30" t="str"/>
      <x:c r="AE127" s="30" t="str">
        <x:v>包装胶带；t code；e 80；x7；model；装配部件</x:v>
      </x:c>
      <x:c r="AF127" s="30" t="str">
        <x:v>PACKING TAPE 800MX72X0.045MM 50P7GT-P PART CODE: 0090303389MODEL NO 50P7GT-P (ASSEMBLY COMPONENT)PACKING TAPE 800MX72X0.045MM 50P7GT-P PART CODE: 0090303389</x:v>
      </x:c>
      <x:c r="AG127" s="30" t="str"/>
      <x:c r="AH127" s="30" t="str"/>
      <x:c r="AI127" s="30" t="str"/>
      <x:c r="AJ127" s="30" t="str">
        <x:v>胶带</x:v>
      </x:c>
      <x:c r="AK127" s="30" t="str">
        <x:v>tape-buyers-fuzzy-search</x:v>
      </x:c>
      <x:c r="AL127" s="30" t="str">
        <x:v>UpKuajing customs company contact API; UpKuajing reviewed person contact API</x:v>
      </x:c>
      <x:c r="AM127" s="30" t="str">
        <x:v>https://www.haier.com/in/blogs/hassle-free-installation-and-service-support-for-haier-led-tvs-in-india.shtml</x:v>
      </x:c>
      <x:c r="AN127" s="30" t="str">
        <x:v>企业官网；Haier India 官网公布的客服邮箱；同时公布电话 1800-419-9999、1800-102-9999 和 WhatsApp 8553049999。 验证状态=3。; 人物补充：Madhumay Panigrahi（Branch Logistics Manager）；物流岗位，且公司精确匹配 Haier India。 排除 madhumay.panigrahi@havells.com：邮箱域名属于 Havells，与当前 Haier 实体不一致</x:v>
      </x:c>
      <x:c r="AO127" s="34" t="n">
        <x:v>46220</x:v>
      </x:c>
    </x:row>
    <x:row r="128" ht="44" customHeight="1">
      <x:c r="A128" s="30" t="str">
        <x:v>API联系方式已获取</x:v>
      </x:c>
      <x:c r="B128" s="30" t="str">
        <x:v>常规-全球</x:v>
      </x:c>
      <x:c r="C128" s="30" t="str">
        <x:v>胶带</x:v>
      </x:c>
      <x:c r="D128" s="31" t="str">
        <x:v>22316517</x:v>
      </x:c>
      <x:c r="E128" s="30" t="str">
        <x:v>TRIUMPH INTERNATIONAL (INDIA) PRIVATE LIMITED</x:v>
      </x:c>
      <x:c r="F128" s="30" t="str">
        <x:v>印度</x:v>
      </x:c>
      <x:c r="G128" s="30" t="str">
        <x:v>murugan.selvaraj@triumph.com</x:v>
      </x:c>
      <x:c r="H128" s="30" t="str">
        <x:f>IF(ISNUMBER(SEARCH(":1",AC128)),"已验证有效",IF(ISNUMBER(SEARCH(":3",AC128)),"验证不确定",IF(ISNUMBER(SEARCH(":0",AC128)),"接口未能检测",IF(ISNUMBER(SEARCH(":2",AC128)),"判定无效",IF(V128&lt;&gt;"","官网已确认-未验证","无邮箱")))))</x:f>
        <x:v>已验证有效</x:v>
      </x:c>
      <x:c r="I128" s="30" t="str"/>
      <x:c r="J128" s="30" t="str">
        <x:v>www.triumph.com</x:v>
      </x:c>
      <x:c r="K128" s="35" t="n">
        <x:f>ROUND((IF(H128="已验证有效",40,IF(V128&lt;&gt;"",20,0))+IF(ISNUMBER(SEARCH("状态1",Y128)),25,0)+IF(J128&lt;&gt;"",20,0)+IF(AA128&lt;&gt;"",15,0))/100,2)</x:f>
        <x:v>0.6</x:v>
      </x:c>
      <x:c r="L128" s="30" t="str">
        <x:v>待联系</x:v>
      </x:c>
      <x:c r="M128" s="30" t="str"/>
      <x:c r="N128" s="30" t="str">
        <x:v>240B, SENGUNDRAM VILLAGE SINGAPERUMAL KOIL</x:v>
      </x:c>
      <x:c r="O128" s="30" t="str"/>
      <x:c r="P128" s="30" t="str">
        <x:v>女士内衣以及室内和休闲服装产品</x:v>
      </x:c>
      <x:c r="Q128" s="32" t="n">
        <x:v>1878</x:v>
      </x:c>
      <x:c r="R128" s="32" t="n">
        <x:v>42532</x:v>
      </x:c>
      <x:c r="S128" s="33" t="n">
        <x:v>0.044199999999999996</x:v>
      </x:c>
      <x:c r="T128" s="34" t="n">
        <x:v>45865.666666666664</x:v>
      </x:c>
      <x:c r="U128" s="30" t="str">
        <x:v>murugan.selvaraj@triumph.com</x:v>
      </x:c>
      <x:c r="V128" s="30" t="str"/>
      <x:c r="W128" s="30" t="str"/>
      <x:c r="X128" s="30" t="str"/>
      <x:c r="Y128" s="30" t="str"/>
      <x:c r="Z128" s="30" t="str"/>
      <x:c r="AA128" s="30" t="str"/>
      <x:c r="AB128" s="30" t="str"/>
      <x:c r="AC128" s="30" t="str">
        <x:v>murugan.selvaraj@triumph.com:1</x:v>
      </x:c>
      <x:c r="AD128" s="30" t="str"/>
      <x:c r="AE128" s="30" t="str"/>
      <x:c r="AF128" s="30" t="str">
        <x:v>ITEM 3329/22 COLOR OP3701-ELASTIC TAPE ITEM 3329/22 COLOR OP3701</x:v>
      </x:c>
      <x:c r="AG128" s="30" t="str"/>
      <x:c r="AH128" s="30" t="str"/>
      <x:c r="AI128" s="30" t="str"/>
      <x:c r="AJ128" s="30" t="str">
        <x:v>胶带</x:v>
      </x:c>
      <x:c r="AK128" s="30" t="str">
        <x:v>tape-buyers-fuzzy-search</x:v>
      </x:c>
      <x:c r="AL128" s="30" t="str">
        <x:v>UpKuajing customs company contact API</x:v>
      </x:c>
      <x:c r="AM128" s="30" t="str"/>
      <x:c r="AN128" s="30" t="str"/>
      <x:c r="AO128" s="34" t="n">
        <x:v>46220</x:v>
      </x:c>
    </x:row>
    <x:row r="129" ht="44" customHeight="1">
      <x:c r="A129" s="30" t="str">
        <x:v>API联系方式已获取</x:v>
      </x:c>
      <x:c r="B129" s="30" t="str">
        <x:v>常规-全球</x:v>
      </x:c>
      <x:c r="C129" s="30" t="str">
        <x:v>胶带</x:v>
      </x:c>
      <x:c r="D129" s="31" t="str">
        <x:v>20410195</x:v>
      </x:c>
      <x:c r="E129" s="30" t="str">
        <x:v>ASTI ELECTRONICS CORPORATION</x:v>
      </x:c>
      <x:c r="F129" s="30" t="str">
        <x:v>越南</x:v>
      </x:c>
      <x:c r="G129" s="30" t="str">
        <x:v>admin@asti.com.vn</x:v>
      </x:c>
      <x:c r="H129" s="30" t="str">
        <x:f>IF(ISNUMBER(SEARCH(":1",AC129)),"已验证有效",IF(ISNUMBER(SEARCH(":3",AC129)),"验证不确定",IF(ISNUMBER(SEARCH(":0",AC129)),"接口未能检测",IF(ISNUMBER(SEARCH(":2",AC129)),"判定无效",IF(V129&lt;&gt;"","官网已确认-未验证","无邮箱")))))</x:f>
        <x:v>已验证有效</x:v>
      </x:c>
      <x:c r="I129" s="30" t="str">
        <x:v>+84 274 2742 464</x:v>
      </x:c>
      <x:c r="J129" s="30" t="str">
        <x:v>www.asti.com.vn</x:v>
      </x:c>
      <x:c r="K129" s="35" t="n">
        <x:f>ROUND((IF(H129="已验证有效",40,IF(V129&lt;&gt;"",20,0))+IF(ISNUMBER(SEARCH("状态1",Y129)),25,0)+IF(J129&lt;&gt;"",20,0)+IF(AA129&lt;&gt;"",15,0))/100,2)</x:f>
        <x:v>0.85</x:v>
      </x:c>
      <x:c r="L129" s="30" t="str">
        <x:v>待联系</x:v>
      </x:c>
      <x:c r="M129" s="30" t="str"/>
      <x:c r="N129" s="30" t="str">
        <x:v>DONG AN QUARTER , TAN DONG HIEP WARD , DI AN DIST</x:v>
      </x:c>
      <x:c r="O129" s="30" t="str"/>
      <x:c r="P129" s="30" t="str">
        <x:v>暂无经营范围信息</x:v>
      </x:c>
      <x:c r="Q129" s="32" t="n">
        <x:v>1828</x:v>
      </x:c>
      <x:c r="R129" s="32" t="n">
        <x:v>131760</x:v>
      </x:c>
      <x:c r="S129" s="33" t="n">
        <x:v>0.0139</x:v>
      </x:c>
      <x:c r="T129" s="34" t="n">
        <x:v>46103.666666666664</x:v>
      </x:c>
      <x:c r="U129" s="30" t="str">
        <x:v>admin@asti.com.vn; info@asti.com</x:v>
      </x:c>
      <x:c r="V129" s="30" t="str"/>
      <x:c r="W129" s="30" t="str">
        <x:v>+84 274 2742 464; +84 274 3742 464; +84 274 3742 594; 84274742464</x:v>
      </x:c>
      <x:c r="X129" s="30" t="str"/>
      <x:c r="Y129" s="30" t="str">
        <x:v>+84 274 2742 464:状态1/类型1/WhatsApp2; +84 274 3742 464:状态1/类型1/WhatsApp2; +84 274 3742 594:状态1/类型1/WhatsApp2; 84274742464:状态2/类型3/WhatsApp2</x:v>
      </x:c>
      <x:c r="Z129" s="30" t="str"/>
      <x:c r="AA129" s="30" t="str"/>
      <x:c r="AB129" s="30" t="str"/>
      <x:c r="AC129" s="30" t="str">
        <x:v>admin@asti.com.vn:1; info@asti.com:1</x:v>
      </x:c>
      <x:c r="AD129" s="30" t="str"/>
      <x:c r="AE129" s="30" t="str"/>
      <x:c r="AF129" s="30" t="str">
        <x:v>A003BK#&amp;amp;Tape glue for cluster conductor electric motorcycle (Tape) 0.1X19X25:BLACK, 100% brand new</x:v>
      </x:c>
      <x:c r="AG129" s="30" t="str"/>
      <x:c r="AH129" s="30" t="str"/>
      <x:c r="AI129" s="30" t="str"/>
      <x:c r="AJ129" s="30" t="str">
        <x:v>胶带</x:v>
      </x:c>
      <x:c r="AK129" s="30" t="str">
        <x:v>tape-buyers-fuzzy-search</x:v>
      </x:c>
      <x:c r="AL129" s="30" t="str">
        <x:v>UpKuajing customs company contact API</x:v>
      </x:c>
      <x:c r="AM129" s="30" t="str"/>
      <x:c r="AN129" s="30" t="str"/>
      <x:c r="AO129" s="34" t="n">
        <x:v>46220</x:v>
      </x:c>
    </x:row>
    <x:row r="130" ht="44" customHeight="1">
      <x:c r="A130" s="30" t="str">
        <x:v>API联系方式已获取</x:v>
      </x:c>
      <x:c r="B130" s="30" t="str">
        <x:v>常规-全球</x:v>
      </x:c>
      <x:c r="C130" s="30" t="str">
        <x:v>胶带</x:v>
      </x:c>
      <x:c r="D130" s="31" t="str">
        <x:v>8206989</x:v>
      </x:c>
      <x:c r="E130" s="30" t="str">
        <x:v>triumph international india</x:v>
      </x:c>
      <x:c r="F130" s="30" t="str">
        <x:v>印度</x:v>
      </x:c>
      <x:c r="G130" s="30" t="str">
        <x:v>info.india@triumph.com</x:v>
      </x:c>
      <x:c r="H130" s="30" t="str">
        <x:f>IF(ISNUMBER(SEARCH(":1",AC130)),"已验证有效",IF(ISNUMBER(SEARCH(":3",AC130)),"验证不确定",IF(ISNUMBER(SEARCH(":0",AC130)),"接口未能检测",IF(ISNUMBER(SEARCH(":2",AC130)),"判定无效",IF(V130&lt;&gt;"","官网已确认-未验证","无邮箱")))))</x:f>
        <x:v>已验证有效</x:v>
      </x:c>
      <x:c r="I130" s="30" t="str">
        <x:v>+91 44 2842 0743</x:v>
      </x:c>
      <x:c r="J130" s="30" t="str">
        <x:v>http://www.triumph.com</x:v>
      </x:c>
      <x:c r="K130" s="35" t="n">
        <x:f>ROUND((IF(H130="已验证有效",40,IF(V130&lt;&gt;"",20,0))+IF(ISNUMBER(SEARCH("状态1",Y130)),25,0)+IF(J130&lt;&gt;"",20,0)+IF(AA130&lt;&gt;"",15,0))/100,2)</x:f>
        <x:v>0.85</x:v>
      </x:c>
      <x:c r="L130" s="30" t="str">
        <x:v>待联系</x:v>
      </x:c>
      <x:c r="M130" s="30" t="str"/>
      <x:c r="N130" s="30" t="str">
        <x:v>no 244 anna salai em n em building chennai tamil nadu</x:v>
      </x:c>
      <x:c r="O130" s="30" t="str"/>
      <x:c r="P130" s="30" t="str">
        <x:v>18、碱液、冰、轮、8、金属滑轨、钢丝文胸、白宝、微网、键盘、单面、、20、、5、印花织物、丝带项目、、层压泡沫、板</x:v>
      </x:c>
      <x:c r="Q130" s="32" t="n">
        <x:v>1677</x:v>
      </x:c>
      <x:c r="R130" s="32" t="n">
        <x:v>51044</x:v>
      </x:c>
      <x:c r="S130" s="33" t="n">
        <x:v>0.0329</x:v>
      </x:c>
      <x:c r="T130" s="34" t="n">
        <x:v>46058.666666666664</x:v>
      </x:c>
      <x:c r="U130" s="30" t="str">
        <x:v>info.india@triumph.com</x:v>
      </x:c>
      <x:c r="V130" s="30" t="str"/>
      <x:c r="W130" s="30" t="str">
        <x:v>+91 44 2842 0743</x:v>
      </x:c>
      <x:c r="X130" s="30" t="str"/>
      <x:c r="Y130" s="30" t="str">
        <x:v>+91 44 2842 0743:状态1/类型1/WhatsApp2</x:v>
      </x:c>
      <x:c r="Z130" s="30" t="str"/>
      <x:c r="AA130" s="30" t="str"/>
      <x:c r="AB130" s="30" t="str"/>
      <x:c r="AC130" s="30" t="str">
        <x:v>info.india@triumph.com:1</x:v>
      </x:c>
      <x:c r="AD130" s="30" t="str"/>
      <x:c r="AE130" s="30" t="str">
        <x:v>eye tape；pearl</x:v>
      </x:c>
      <x:c r="AF130" s="30" t="str">
        <x:v>PRECUT EYE TAPE 000 S0182S 38MM A PEARL GR 38198 PO 4512863360 12863362PRECUT EYE TAPE</x:v>
      </x:c>
      <x:c r="AG130" s="30" t="str"/>
      <x:c r="AH130" s="30" t="str"/>
      <x:c r="AI130" s="30" t="str"/>
      <x:c r="AJ130" s="30" t="str">
        <x:v>胶带</x:v>
      </x:c>
      <x:c r="AK130" s="30" t="str">
        <x:v>tape-buyers-fuzzy-search</x:v>
      </x:c>
      <x:c r="AL130" s="30" t="str">
        <x:v>UpKuajing customs company contact API</x:v>
      </x:c>
      <x:c r="AM130" s="30" t="str"/>
      <x:c r="AN130" s="30" t="str"/>
      <x:c r="AO130" s="34" t="n">
        <x:v>46220</x:v>
      </x:c>
    </x:row>
    <x:row r="131" ht="44" customHeight="1">
      <x:c r="A131" s="30" t="str">
        <x:v>API联系方式已获取</x:v>
      </x:c>
      <x:c r="B131" s="30" t="str">
        <x:v>常规-全球</x:v>
      </x:c>
      <x:c r="C131" s="30" t="str">
        <x:v>胶带</x:v>
      </x:c>
      <x:c r="D131" s="31" t="str">
        <x:v>78071611</x:v>
      </x:c>
      <x:c r="E131" s="30" t="str">
        <x:v>INNO FLEX</x:v>
      </x:c>
      <x:c r="F131" s="30" t="str">
        <x:v>韩国</x:v>
      </x:c>
      <x:c r="G131" s="30" t="str">
        <x:v>cosmotech@korea.com</x:v>
      </x:c>
      <x:c r="H131" s="30" t="str">
        <x:f>IF(ISNUMBER(SEARCH(":1",AC131)),"已验证有效",IF(ISNUMBER(SEARCH(":3",AC131)),"验证不确定",IF(ISNUMBER(SEARCH(":0",AC131)),"接口未能检测",IF(ISNUMBER(SEARCH(":2",AC131)),"判定无效",IF(V131&lt;&gt;"","官网已确认-未验证","无邮箱")))))</x:f>
        <x:v>验证不确定</x:v>
      </x:c>
      <x:c r="I131" s="30" t="str">
        <x:v>+82 32-817-6552</x:v>
      </x:c>
      <x:c r="J131" s="30" t="str"/>
      <x:c r="K131" s="35" t="n">
        <x:f>ROUND((IF(H131="已验证有效",40,IF(V131&lt;&gt;"",20,0))+IF(ISNUMBER(SEARCH("状态1",Y131)),25,0)+IF(J131&lt;&gt;"",20,0)+IF(AA131&lt;&gt;"",15,0))/100,2)</x:f>
        <x:v>0.25</x:v>
      </x:c>
      <x:c r="L131" s="30" t="str">
        <x:v>待联系</x:v>
      </x:c>
      <x:c r="M131" s="30" t="str"/>
      <x:c r="N131" s="30" t="str">
        <x:v>702-10, gojan-dong, namdong-gu, incheon, 405-818 korea</x:v>
      </x:c>
      <x:c r="O131" s="30" t="str"/>
      <x:c r="P131" s="30" t="str">
        <x:v>电镀电路、装饰膜、印刷电路、电子集成电路、工业钢材、扬声器、冲压冲孔、冲压冲孔、不干胶、塑料制品、塑料、连接器</x:v>
      </x:c>
      <x:c r="Q131" s="32" t="n">
        <x:v>1517</x:v>
      </x:c>
      <x:c r="R131" s="32" t="n">
        <x:v>7993</x:v>
      </x:c>
      <x:c r="S131" s="33" t="n">
        <x:v>0.1898</x:v>
      </x:c>
      <x:c r="T131" s="34" t="n">
        <x:v>45894.666666666664</x:v>
      </x:c>
      <x:c r="U131" s="30" t="str">
        <x:v>cosmotech@korea.com</x:v>
      </x:c>
      <x:c r="V131" s="30" t="str"/>
      <x:c r="W131" s="30" t="str">
        <x:v>+82 32-817-6552</x:v>
      </x:c>
      <x:c r="X131" s="30" t="str"/>
      <x:c r="Y131" s="30" t="str">
        <x:v>+82 32-817-6552:状态1/类型1/WhatsApp2</x:v>
      </x:c>
      <x:c r="Z131" s="30" t="str"/>
      <x:c r="AA131" s="30" t="str"/>
      <x:c r="AB131" s="30" t="str"/>
      <x:c r="AC131" s="30" t="str">
        <x:v>cosmotech@korea.com:3</x:v>
      </x:c>
      <x:c r="AD131" s="30" t="str">
        <x:v>TAPE-1 P1 DUO（胶带型号）</x:v>
      </x:c>
      <x:c r="AE131" s="30" t="str">
        <x:v>胶带；塑料；自粘；再生材料</x:v>
      </x:c>
      <x:c r="AF131" s="30" t="str">
        <x:v>TAPE-1 P1 DUO#&amp;Miếng plastic tự dán TAPE-1 P1 DUO (TOP TAPE TESA61885), kt 120.08*12.50mm, hàng mới 100% tái xuất mục 44 TK 107230146220#&amp;KR</x:v>
      </x:c>
      <x:c r="AG131" s="30" t="str">
        <x:v>胶粘带；自粘胶带；塑料胶带；双面胶带；德莎胶带</x:v>
      </x:c>
      <x:c r="AH131" s="30" t="str">
        <x:v>塑料树脂；胶粘剂；聚合物；添加剂；再生塑料</x:v>
      </x:c>
      <x:c r="AI131" s="30" t="str">
        <x:v>包装；标签制作；手工艺；电子装配；办公用途</x:v>
      </x:c>
      <x:c r="AJ131" s="30" t="str">
        <x:v>胶带</x:v>
      </x:c>
      <x:c r="AK131" s="30" t="str">
        <x:v>tape-buyers-fuzzy-search</x:v>
      </x:c>
      <x:c r="AL131" s="30" t="str">
        <x:v>UpKuajing customs company contact API</x:v>
      </x:c>
      <x:c r="AM131" s="30" t="str"/>
      <x:c r="AN131" s="30" t="str"/>
      <x:c r="AO131" s="34" t="n">
        <x:v>46220</x:v>
      </x:c>
    </x:row>
    <x:row r="132" ht="44" customHeight="1">
      <x:c r="A132" s="30" t="str">
        <x:v>API联系方式已获取</x:v>
      </x:c>
      <x:c r="B132" s="30" t="str">
        <x:v>常规-全球</x:v>
      </x:c>
      <x:c r="C132" s="30" t="str">
        <x:v>胶带</x:v>
      </x:c>
      <x:c r="D132" s="31" t="str">
        <x:v>5141777</x:v>
      </x:c>
      <x:c r="E132" s="30" t="str">
        <x:v>han soll textiles ltd.</x:v>
      </x:c>
      <x:c r="F132" s="30" t="str">
        <x:v>韩国</x:v>
      </x:c>
      <x:c r="G132" s="30" t="str">
        <x:v>annapark@hansoll.com</x:v>
      </x:c>
      <x:c r="H132" s="30" t="str">
        <x:f>IF(ISNUMBER(SEARCH(":1",AC132)),"已验证有效",IF(ISNUMBER(SEARCH(":3",AC132)),"验证不确定",IF(ISNUMBER(SEARCH(":0",AC132)),"接口未能检测",IF(ISNUMBER(SEARCH(":2",AC132)),"判定无效",IF(V132&lt;&gt;"","官网已确认-未验证","无邮箱")))))</x:f>
        <x:v>已验证有效</x:v>
      </x:c>
      <x:c r="I132" s="30" t="str">
        <x:v>+1 212-764-4270</x:v>
      </x:c>
      <x:c r="J132" s="30" t="str">
        <x:v>http://www.hansoll.com/</x:v>
      </x:c>
      <x:c r="K132" s="35" t="n">
        <x:f>ROUND((IF(H132="已验证有效",40,IF(V132&lt;&gt;"",20,0))+IF(ISNUMBER(SEARCH("状态1",Y132)),25,0)+IF(J132&lt;&gt;"",20,0)+IF(AA132&lt;&gt;"",15,0))/100,2)</x:f>
        <x:v>0.85</x:v>
      </x:c>
      <x:c r="L132" s="30" t="str">
        <x:v>待联系</x:v>
      </x:c>
      <x:c r="M132" s="30" t="str"/>
      <x:c r="N132" s="30" t="str">
        <x:v>525 seventh avenue, suite 1401 new york , new york 10018 united states</x:v>
      </x:c>
      <x:c r="O132" s="30" t="str"/>
      <x:c r="P132" s="30" t="str">
        <x:v>胶床、塑料机械、塑料制品、鳄鱼布、合纤、缝编布、纺织面料、合成革、色织棉布、防水纸、雷、麻线、蕉麻线、聚酯纤维、连衣裙、合纤短纤缝纫线、人造丝、塑料雕像、合纤织物、裁缝机</x:v>
      </x:c>
      <x:c r="Q132" s="32" t="n">
        <x:v>1476</x:v>
      </x:c>
      <x:c r="R132" s="32" t="n">
        <x:v>138172</x:v>
      </x:c>
      <x:c r="S132" s="33" t="n">
        <x:v>0.010700000000000001</x:v>
      </x:c>
      <x:c r="T132" s="34" t="n">
        <x:v>46048.666666666664</x:v>
      </x:c>
      <x:c r="U132" s="30" t="str">
        <x:v>annapark@hansoll.com</x:v>
      </x:c>
      <x:c r="V132" s="30" t="str"/>
      <x:c r="W132" s="30" t="str">
        <x:v>+1 212-764-4270</x:v>
      </x:c>
      <x:c r="X132" s="30" t="str"/>
      <x:c r="Y132" s="30" t="str">
        <x:v>+1 212-764-4270:状态1/类型3/WhatsApp2</x:v>
      </x:c>
      <x:c r="Z132" s="30" t="str"/>
      <x:c r="AA132" s="30" t="str"/>
      <x:c r="AB132" s="30" t="str"/>
      <x:c r="AC132" s="30" t="str">
        <x:v>annapark@hansoll.com:1</x:v>
      </x:c>
      <x:c r="AD132" s="30" t="str"/>
      <x:c r="AE132" s="30" t="str">
        <x:v>塑料配件</x:v>
      </x:c>
      <x:c r="AF132" s="30" t="str">
        <x:v>DÂY CHỐNG DÃN 0608 (MOBILON TAPE SHL-0608; DÂY VIỀN 0608; Kích thước: 6 MM x 0.08 MM; 826,491.41 MÉT; SỬ DỤNG TRONG MAY MẶC; CHẤT LIỆU: POLYURE THANE; HÀNG MỚI 100%)#&amp;KR</x:v>
      </x:c>
      <x:c r="AG132" s="30" t="str"/>
      <x:c r="AH132" s="30" t="str"/>
      <x:c r="AI132" s="30" t="str"/>
      <x:c r="AJ132" s="30" t="str">
        <x:v>胶带</x:v>
      </x:c>
      <x:c r="AK132" s="30" t="str">
        <x:v>tape-buyers-fuzzy-search</x:v>
      </x:c>
      <x:c r="AL132" s="30" t="str">
        <x:v>UpKuajing customs company contact API</x:v>
      </x:c>
      <x:c r="AM132" s="30" t="str"/>
      <x:c r="AN132" s="30" t="str"/>
      <x:c r="AO132" s="34" t="n">
        <x:v>46220</x:v>
      </x:c>
    </x:row>
    <x:row r="133" ht="44" customHeight="1">
      <x:c r="A133" s="30" t="str">
        <x:v>API联系方式已获取</x:v>
      </x:c>
      <x:c r="B133" s="30" t="str">
        <x:v>常规-全球</x:v>
      </x:c>
      <x:c r="C133" s="30" t="str">
        <x:v>胶带；遮蔽膜</x:v>
      </x:c>
      <x:c r="D133" s="31" t="str">
        <x:v>20482013</x:v>
      </x:c>
      <x:c r="E133" s="30" t="str">
        <x:v>AJIT INDUSTRIES PRIVATE LIMITED</x:v>
      </x:c>
      <x:c r="F133" s="30" t="str">
        <x:v>印度</x:v>
      </x:c>
      <x:c r="G133" s="30" t="str">
        <x:v>marketing@ajitindustries.com</x:v>
      </x:c>
      <x:c r="H133" s="30" t="str">
        <x:f>IF(ISNUMBER(SEARCH(":1",AC133)),"已验证有效",IF(ISNUMBER(SEARCH(":3",AC133)),"验证不确定",IF(ISNUMBER(SEARCH(":0",AC133)),"接口未能检测",IF(ISNUMBER(SEARCH(":2",AC133)),"判定无效",IF(V133&lt;&gt;"","官网已确认-未验证","无邮箱")))))</x:f>
        <x:v>已验证有效</x:v>
      </x:c>
      <x:c r="I133" s="30" t="str">
        <x:v>+91 80 6882 0110</x:v>
      </x:c>
      <x:c r="J133" s="30" t="str">
        <x:v>www.ajitindustries.com</x:v>
      </x:c>
      <x:c r="K133" s="35" t="n">
        <x:f>ROUND((IF(H133="已验证有效",40,IF(V133&lt;&gt;"",20,0))+IF(ISNUMBER(SEARCH("状态1",Y133)),25,0)+IF(J133&lt;&gt;"",20,0)+IF(AA133&lt;&gt;"",15,0))/100,2)</x:f>
        <x:v>1</x:v>
      </x:c>
      <x:c r="L133" s="30" t="str">
        <x:v>待联系</x:v>
      </x:c>
      <x:c r="M133" s="30" t="str"/>
      <x:c r="N133" s="30" t="str">
        <x:v>NETAJI SUBHASH PLACE, OPPOSITE WAZIRPUR DTC DEPOT, PITAMPURA , 414, 4TH FLOOR, D MALL</x:v>
      </x:c>
      <x:c r="O133" s="30" t="str"/>
      <x:c r="P133" s="30" t="str">
        <x:v>暂无经营范围信息</x:v>
      </x:c>
      <x:c r="Q133" s="32" t="n">
        <x:v>1440</x:v>
      </x:c>
      <x:c r="R133" s="32" t="n">
        <x:v>10572</x:v>
      </x:c>
      <x:c r="S133" s="33" t="n">
        <x:v>0.1362</x:v>
      </x:c>
      <x:c r="T133" s="34" t="n">
        <x:v>45868.666666666664</x:v>
      </x:c>
      <x:c r="U133" s="30" t="str">
        <x:v>marketing@ajitindustries.com; suneet@ajitindustries.com</x:v>
      </x:c>
      <x:c r="V133" s="30" t="str"/>
      <x:c r="W133" s="30" t="str">
        <x:v>01149010101; +91 80 6882 0110; +91 82879 48064; +91 95996 77993</x:v>
      </x:c>
      <x:c r="X133" s="30" t="str"/>
      <x:c r="Y133" s="30" t="str">
        <x:v>01149010101:状态2/类型0/WhatsApp0; +91 80 6882 0110:状态1/类型1/WhatsApp2; +91 82879 48064:状态1/类型2/WhatsApp1; +91 95996 77993:状态1/类型2/WhatsApp1</x:v>
      </x:c>
      <x:c r="Z133" s="30" t="str">
        <x:v>+91 82879 48064; +91 95996 77993</x:v>
      </x:c>
      <x:c r="AA133" s="30" t="str">
        <x:v>https://www.youtube.com/watch?v=TUJvH6kYIWE</x:v>
      </x:c>
      <x:c r="AB133" s="30" t="str"/>
      <x:c r="AC133" s="30" t="str">
        <x:v>marketing@ajitindustries.com:1; suneet@ajitindustries.com:1</x:v>
      </x:c>
      <x:c r="AD133" s="30" t="str">
        <x:v>PE遮蔽膜</x:v>
      </x:c>
      <x:c r="AE133" s="30" t="str">
        <x:v>PE；遮蔽膜；工业用途</x:v>
      </x:c>
      <x:c r="AF133" s="30" t="str">
        <x:v>MASKING TAPE (IN JUMBO ROLLS)PRODUCT CODE:770UU;COLOR:BEIGE;SIZE:1570mm x 2000m (RLS:53)(PIMS NO:ORIGINAL DPIIT-PPR-2025MASKING TAPE (IN JUMBO ROLLS)PRODUCT CODE:770UU;COLOR:BEIGE;; PE MASKING FILM IN LARGE ROLL SIZE: 2700MM*1600M (ROLL 600)(FOR INDUSTRIAL USE)PE MASKING FILM IN</x:v>
      </x:c>
      <x:c r="AG133" s="30" t="str">
        <x:v>PE保护膜；PE遮蔽胶带；聚乙烯遮蔽膜；工业遮蔽膜；PE覆盖膜</x:v>
      </x:c>
      <x:c r="AH133" s="30" t="str">
        <x:v>聚乙烯树脂；塑料添加剂；石油；乙烯；催化剂</x:v>
      </x:c>
      <x:c r="AI133" s="30" t="str">
        <x:v>汽车涂装；电子制造；家具生产；建筑施工；金属加工</x:v>
      </x:c>
      <x:c r="AJ133" s="30" t="str">
        <x:v>胶带；遮蔽膜</x:v>
      </x:c>
      <x:c r="AK133" s="30" t="str">
        <x:v>tape-buyers-fuzzy-search; masking-film-buyers-exact-search</x:v>
      </x:c>
      <x:c r="AL133" s="30" t="str">
        <x:v>UpKuajing customs company contact API</x:v>
      </x:c>
      <x:c r="AM133" s="30" t="str"/>
      <x:c r="AN133" s="30" t="str"/>
      <x:c r="AO133" s="34" t="n">
        <x:v>46220</x:v>
      </x:c>
    </x:row>
    <x:row r="134" ht="44" customHeight="1">
      <x:c r="A134" s="30" t="str">
        <x:v>API联系方式已获取</x:v>
      </x:c>
      <x:c r="B134" s="30" t="str">
        <x:v>常规-全球</x:v>
      </x:c>
      <x:c r="C134" s="30" t="str">
        <x:v>刷子</x:v>
      </x:c>
      <x:c r="D134" s="31" t="str">
        <x:v>71512528</x:v>
      </x:c>
      <x:c r="E134" s="30" t="str">
        <x:v>ZIM LOGISTICS USA LLC</x:v>
      </x:c>
      <x:c r="F134" s="30" t="str">
        <x:v>波多黎各</x:v>
      </x:c>
      <x:c r="G134" s="30" t="str">
        <x:v>import.us@zim-log.com</x:v>
      </x:c>
      <x:c r="H134" s="30" t="str">
        <x:f>IF(ISNUMBER(SEARCH(":1",AC134)),"已验证有效",IF(ISNUMBER(SEARCH(":3",AC134)),"验证不确定",IF(ISNUMBER(SEARCH(":0",AC134)),"接口未能检测",IF(ISNUMBER(SEARCH(":2",AC134)),"判定无效",IF(V134&lt;&gt;"","官网已确认-未验证","无邮箱")))))</x:f>
        <x:v>已验证有效</x:v>
      </x:c>
      <x:c r="I134" s="30" t="str">
        <x:v>+1 786-857-5340</x:v>
      </x:c>
      <x:c r="J134" s="30" t="str"/>
      <x:c r="K134" s="35" t="n">
        <x:f>ROUND((IF(H134="已验证有效",40,IF(V134&lt;&gt;"",20,0))+IF(ISNUMBER(SEARCH("状态1",Y134)),25,0)+IF(J134&lt;&gt;"",20,0)+IF(AA134&lt;&gt;"",15,0))/100,2)</x:f>
        <x:v>0.65</x:v>
      </x:c>
      <x:c r="L134" s="30" t="str">
        <x:v>待联系</x:v>
      </x:c>
      <x:c r="M134" s="30" t="str"/>
      <x:c r="N134" s="30" t="str">
        <x:v>Miami, Florida</x:v>
      </x:c>
      <x:c r="O134" s="30" t="str"/>
      <x:c r="P134" s="30" t="str">
        <x:v>暂无经营范围信息</x:v>
      </x:c>
      <x:c r="Q134" s="32" t="n">
        <x:v>1398</x:v>
      </x:c>
      <x:c r="R134" s="32" t="n">
        <x:v>48187</x:v>
      </x:c>
      <x:c r="S134" s="33" t="n">
        <x:v>0.028999999999999998</x:v>
      </x:c>
      <x:c r="T134" s="34" t="n">
        <x:v>46210.666666666664</x:v>
      </x:c>
      <x:c r="U134" s="30" t="str">
        <x:v>import.us@zim-log.com; import@zim-logistics.us</x:v>
      </x:c>
      <x:c r="V134" s="30" t="str"/>
      <x:c r="W134" s="30" t="str">
        <x:v>7868575340; +1 786-857-5340</x:v>
      </x:c>
      <x:c r="X134" s="30" t="str"/>
      <x:c r="Y134" s="30" t="str">
        <x:v>7868575340:状态2/类型0/WhatsApp0; +1 786-857-5340:状态1/类型3/WhatsApp2</x:v>
      </x:c>
      <x:c r="Z134" s="30" t="str"/>
      <x:c r="AA134" s="30" t="str"/>
      <x:c r="AB134" s="30" t="str"/>
      <x:c r="AC134" s="30" t="str">
        <x:v>import.us@zim-log.com:1; import@zim-logistics.us:1</x:v>
      </x:c>
      <x:c r="AD134" s="30" t="str"/>
      <x:c r="AE134" s="30" t="str"/>
      <x:c r="AF134" s="30" t="str">
        <x:v>POLYESTER FIBER BATH CURTAIN PLASTIC CLEANING BRUSH NAC: USLAXZEXFA</x:v>
      </x:c>
      <x:c r="AG134" s="30" t="str"/>
      <x:c r="AH134" s="30" t="str"/>
      <x:c r="AI134" s="30" t="str"/>
      <x:c r="AJ134" s="30" t="str">
        <x:v>刷子</x:v>
      </x:c>
      <x:c r="AK134" s="30" t="str">
        <x:v>expansion-search-brush-page-01</x:v>
      </x:c>
      <x:c r="AL134" s="30" t="str">
        <x:v>UpKuajing customs company contact API</x:v>
      </x:c>
      <x:c r="AM134" s="30" t="str"/>
      <x:c r="AN134" s="30" t="str"/>
      <x:c r="AO134" s="34" t="n">
        <x:v>46220</x:v>
      </x:c>
    </x:row>
    <x:row r="135" ht="44" customHeight="1">
      <x:c r="A135" s="30" t="str">
        <x:v>同法人实体已去重-复用有效邮箱</x:v>
      </x:c>
      <x:c r="B135" s="30" t="str">
        <x:v>常规-全球</x:v>
      </x:c>
      <x:c r="C135" s="30" t="str">
        <x:v>胶带</x:v>
      </x:c>
      <x:c r="D135" s="31" t="str">
        <x:v>86190</x:v>
      </x:c>
      <x:c r="E135" s="30" t="str">
        <x:v>vivo mobile india pvt ltd</x:v>
      </x:c>
      <x:c r="F135" s="30" t="str">
        <x:v>印度</x:v>
      </x:c>
      <x:c r="G135" s="30" t="str">
        <x:v>support.in@vivo.com</x:v>
      </x:c>
      <x:c r="H135" s="30" t="str">
        <x:f>IF(ISNUMBER(SEARCH(":1",AC135)),"已验证有效",IF(ISNUMBER(SEARCH(":3",AC135)),"验证不确定",IF(ISNUMBER(SEARCH(":0",AC135)),"接口未能检测",IF(ISNUMBER(SEARCH(":2",AC135)),"判定无效",IF(V135&lt;&gt;"","官网已确认-未验证","无邮箱")))))</x:f>
        <x:v>已验证有效</x:v>
      </x:c>
      <x:c r="I135" s="30" t="str"/>
      <x:c r="J135" s="30" t="str"/>
      <x:c r="K135" s="35" t="n">
        <x:f>ROUND((IF(H135="已验证有效",40,IF(V135&lt;&gt;"",20,0))+IF(ISNUMBER(SEARCH("状态1",Y135)),25,0)+IF(J135&lt;&gt;"",20,0)+IF(AA135&lt;&gt;"",15,0))/100,2)</x:f>
        <x:v>0.4</x:v>
      </x:c>
      <x:c r="L135" s="30" t="str">
        <x:v>待联系</x:v>
      </x:c>
      <x:c r="M135" s="30" t="str"/>
      <x:c r="N135" s="30" t="str">
        <x:v>3rd floor, plot no. 54, sector-44, gurgaon hr 122002 india</x:v>
      </x:c>
      <x:c r="O135" s="30" t="str"/>
      <x:c r="P135" s="30" t="str">
        <x:v>生产线，无线网络路由器，显示器，清洁台，电缆固定，后置摄像头，1，切割装置，消泡，画架，彩盒，皇冠，电池连接器，挂钩连接器，铝电缆</x:v>
      </x:c>
      <x:c r="Q135" s="32" t="n">
        <x:v>1379</x:v>
      </x:c>
      <x:c r="R135" s="32" t="n">
        <x:v>683021</x:v>
      </x:c>
      <x:c r="S135" s="33" t="n">
        <x:v>0.002</x:v>
      </x:c>
      <x:c r="T135" s="34" t="n">
        <x:v>46079.666666666664</x:v>
      </x:c>
      <x:c r="U135" s="30" t="str">
        <x:v>aruna.sharma@vivoglobal.com</x:v>
      </x:c>
      <x:c r="V135" s="30" t="str">
        <x:v>support.in@vivo.com; vcare@vivo.com</x:v>
      </x:c>
      <x:c r="W135" s="30" t="str"/>
      <x:c r="X135" s="30" t="str"/>
      <x:c r="Y135" s="30" t="str"/>
      <x:c r="Z135" s="30" t="str"/>
      <x:c r="AA135" s="30" t="str"/>
      <x:c r="AB135" s="30" t="str"/>
      <x:c r="AC135" s="30" t="str">
        <x:v>aruna.sharma@vivoglobal.com:3; support.in@vivo.com:1; vcare@vivo.com:1</x:v>
      </x:c>
      <x:c r="AD135" s="30" t="str"/>
      <x:c r="AE135" s="30" t="str">
        <x:v>纸；工艺品；遇水指示胶带；手机用途</x:v>
      </x:c>
      <x:c r="AF135" s="30" t="str">
        <x:v>5181866 WATER CONTACT INDICATOR TAPE PAPER PARTS FOR MFG OF MOBILE PHONE 5181866 WATER CONTACT INDICATOR TAPE PAPER PARTS FOR MFG</x:v>
      </x:c>
      <x:c r="AG135" s="30" t="str"/>
      <x:c r="AH135" s="30" t="str"/>
      <x:c r="AI135" s="30" t="str"/>
      <x:c r="AJ135" s="30" t="str">
        <x:v>胶带</x:v>
      </x:c>
      <x:c r="AK135" s="30" t="str">
        <x:v>tape-buyers-fuzzy-search</x:v>
      </x:c>
      <x:c r="AL135" s="30" t="str">
        <x:v>UpKuajing customs company contact API</x:v>
      </x:c>
      <x:c r="AM135" s="30" t="str">
        <x:v>同一总表中的同法人实体记录；两个邮箱已由 API 验证为有效</x:v>
      </x:c>
      <x:c r="AN135" s="30" t="str">
        <x:v>公司名称、国家和业务实体一致；避免为重复实体再次购买联系方式。</x:v>
      </x:c>
      <x:c r="AO135" s="34" t="n">
        <x:v>46220</x:v>
      </x:c>
    </x:row>
    <x:row r="136" ht="44" customHeight="1">
      <x:c r="A136" s="30" t="str">
        <x:v>API联系方式已获取</x:v>
      </x:c>
      <x:c r="B136" s="30" t="str">
        <x:v>常规-全球</x:v>
      </x:c>
      <x:c r="C136" s="30" t="str">
        <x:v>胶带</x:v>
      </x:c>
      <x:c r="D136" s="31" t="str">
        <x:v>20432358</x:v>
      </x:c>
      <x:c r="E136" s="30" t="str">
        <x:v>TESA TAPES (INDIA) PRIVATE LIMITED</x:v>
      </x:c>
      <x:c r="F136" s="30" t="str">
        <x:v>印度</x:v>
      </x:c>
      <x:c r="G136" s="30" t="str">
        <x:v>marketing.india@tesa.com</x:v>
      </x:c>
      <x:c r="H136" s="30" t="str">
        <x:f>IF(ISNUMBER(SEARCH(":1",AC136)),"已验证有效",IF(ISNUMBER(SEARCH(":3",AC136)),"验证不确定",IF(ISNUMBER(SEARCH(":0",AC136)),"接口未能检测",IF(ISNUMBER(SEARCH(":2",AC136)),"判定无效",IF(V136&lt;&gt;"","官网已确认-未验证","无邮箱")))))</x:f>
        <x:v>验证不确定</x:v>
      </x:c>
      <x:c r="I136" s="30" t="str">
        <x:v>+91 22 4741 9200</x:v>
      </x:c>
      <x:c r="J136" s="30" t="str">
        <x:v>www.tesa.in</x:v>
      </x:c>
      <x:c r="K136" s="35" t="n">
        <x:f>ROUND((IF(H136="已验证有效",40,IF(V136&lt;&gt;"",20,0))+IF(ISNUMBER(SEARCH("状态1",Y136)),25,0)+IF(J136&lt;&gt;"",20,0)+IF(AA136&lt;&gt;"",15,0))/100,2)</x:f>
        <x:v>0.8</x:v>
      </x:c>
      <x:c r="L136" s="30" t="str">
        <x:v>待联系</x:v>
      </x:c>
      <x:c r="M136" s="30" t="str"/>
      <x:c r="N136" s="30" t="str">
        <x:v>301, 3RD FLOOR , LAKHANI CENTRIUM , PLOT NO. 27, SECTOR 15, CBD BELAPUR NAVI MUMBAI</x:v>
      </x:c>
      <x:c r="O136" s="30" t="str"/>
      <x:c r="P136" s="30" t="str">
        <x:v>自粘·产品·和·解决方案</x:v>
      </x:c>
      <x:c r="Q136" s="32" t="n">
        <x:v>1322</x:v>
      </x:c>
      <x:c r="R136" s="32" t="n">
        <x:v>9090</x:v>
      </x:c>
      <x:c r="S136" s="33" t="n">
        <x:v>0.1454</x:v>
      </x:c>
      <x:c r="T136" s="34" t="n">
        <x:v>45867.666666666664</x:v>
      </x:c>
      <x:c r="U136" s="30" t="str">
        <x:v>contact.india@tesa.com; arorarajeev2001@yahoo.com</x:v>
      </x:c>
      <x:c r="V136" s="30" t="str">
        <x:v>marketing.india@tesa.com</x:v>
      </x:c>
      <x:c r="W136" s="30" t="str"/>
      <x:c r="X136" s="30" t="str">
        <x:v>+91 22 4741 9200</x:v>
      </x:c>
      <x:c r="Y136" s="30" t="str">
        <x:v>+91 22 4741 9200:状态1/类型1/WhatsApp0</x:v>
      </x:c>
      <x:c r="Z136" s="30" t="str"/>
      <x:c r="AA136" s="30" t="str">
        <x:v>https://www.linkedin.com/company/tesa; https://www.linkedin.com/in/rajeev-arora-a04a3521</x:v>
      </x:c>
      <x:c r="AB136" s="30" t="str"/>
      <x:c r="AC136" s="30" t="str">
        <x:v>contact.india@tesa.com:2; arorarajeev2001@yahoo.com:0; marketing.india@tesa.com:3</x:v>
      </x:c>
      <x:c r="AD136" s="30" t="str"/>
      <x:c r="AE136" s="30" t="str"/>
      <x:c r="AF136" s="30" t="str">
        <x:v>P/N:60996-60000-43 TS4363TLW050M10800 4363-PV43 TESA D/S ADHESIVE TAPE 1080MMX50MP/N:60996-60000-43 TS4363TLW050M10800 4363-PV43 TESA D/S ADH</x:v>
      </x:c>
      <x:c r="AG136" s="30" t="str"/>
      <x:c r="AH136" s="30" t="str"/>
      <x:c r="AI136" s="30" t="str"/>
      <x:c r="AJ136" s="30" t="str">
        <x:v>胶带</x:v>
      </x:c>
      <x:c r="AK136" s="30" t="str">
        <x:v>tape-buyers-fuzzy-search</x:v>
      </x:c>
      <x:c r="AL136" s="30" t="str">
        <x:v>UpKuajing customs company contact API; UpKuajing reviewed person contact API</x:v>
      </x:c>
      <x:c r="AM136" s="30" t="str">
        <x:v>https://www.tesa.com/en-in/industry/lp/automotive/hole-covering-linkedin</x:v>
      </x:c>
      <x:c r="AN136" s="30" t="str">
        <x:v>企业官网；tesa India 官网明确标注的业务联系邮箱和电话 +91 22 4741 9200。 验证状态=3。; 人物补充：Rajeev Arora（Head of Operations）；运营负责人，且公司精确匹配 tesa India。</x:v>
      </x:c>
      <x:c r="AO136" s="34" t="n">
        <x:v>46220</x:v>
      </x:c>
    </x:row>
    <x:row r="137" ht="44" customHeight="1">
      <x:c r="A137" s="30" t="str">
        <x:v>API联系方式已获取</x:v>
      </x:c>
      <x:c r="B137" s="30" t="str">
        <x:v>常规-全球</x:v>
      </x:c>
      <x:c r="C137" s="30" t="str">
        <x:v>刷子</x:v>
      </x:c>
      <x:c r="D137" s="31" t="str">
        <x:v>28170</x:v>
      </x:c>
      <x:c r="E137" s="30" t="str">
        <x:v>truper s.a.de c.v.</x:v>
      </x:c>
      <x:c r="F137" s="30" t="str">
        <x:v>墨西哥</x:v>
      </x:c>
      <x:c r="G137" s="30" t="str">
        <x:v>ajusidman@truper.com</x:v>
      </x:c>
      <x:c r="H137" s="30" t="str">
        <x:f>IF(ISNUMBER(SEARCH(":1",AC137)),"已验证有效",IF(ISNUMBER(SEARCH(":3",AC137)),"验证不确定",IF(ISNUMBER(SEARCH(":0",AC137)),"接口未能检测",IF(ISNUMBER(SEARCH(":2",AC137)),"判定无效",IF(V137&lt;&gt;"","官网已确认-未验证","无邮箱")))))</x:f>
        <x:v>接口未能检测</x:v>
      </x:c>
      <x:c r="I137" s="30" t="str">
        <x:v>+52 55 5387 6600</x:v>
      </x:c>
      <x:c r="J137" s="30" t="str">
        <x:v>http://www.truper.com</x:v>
      </x:c>
      <x:c r="K137" s="35" t="n">
        <x:f>ROUND((IF(H137="已验证有效",40,IF(V137&lt;&gt;"",20,0))+IF(ISNUMBER(SEARCH("状态1",Y137)),25,0)+IF(J137&lt;&gt;"",20,0)+IF(AA137&lt;&gt;"",15,0))/100,2)</x:f>
        <x:v>0.45</x:v>
      </x:c>
      <x:c r="L137" s="30" t="str">
        <x:v>待联系</x:v>
      </x:c>
      <x:c r="M137" s="30" t="str"/>
      <x:c r="N137" s="30" t="str">
        <x:v>miguel de cervantes saavedra 67 granada miguel hidalgo ciudad de méxico df 11520 mexico</x:v>
      </x:c>
      <x:c r="O137" s="30" t="str"/>
      <x:c r="P137" s="30" t="str">
        <x:v>钻头，配件，出口文件，代理，13口袋，60，纸箱，12，热轧，包装，水分含量，水箱，140</x:v>
      </x:c>
      <x:c r="Q137" s="32" t="n">
        <x:v>1247</x:v>
      </x:c>
      <x:c r="R137" s="32" t="n">
        <x:v>360488</x:v>
      </x:c>
      <x:c r="S137" s="33" t="n">
        <x:v>0.0034999999999999996</x:v>
      </x:c>
      <x:c r="T137" s="34" t="n">
        <x:v>46141.666666666664</x:v>
      </x:c>
      <x:c r="U137" s="30" t="str">
        <x:v>ajusidman@truper.com; zona_metropolitana@truper.com</x:v>
      </x:c>
      <x:c r="V137" s="30" t="str"/>
      <x:c r="W137" s="30" t="str">
        <x:v>+52 55 5387 6600</x:v>
      </x:c>
      <x:c r="X137" s="30" t="str"/>
      <x:c r="Y137" s="30" t="str">
        <x:v>+52 55 5387 6600:状态1/类型3/WhatsApp2</x:v>
      </x:c>
      <x:c r="Z137" s="30" t="str"/>
      <x:c r="AA137" s="30" t="str"/>
      <x:c r="AB137" s="30" t="str"/>
      <x:c r="AC137" s="30" t="str">
        <x:v>ajusidman@truper.com:0; zona_metropolitana@truper.com:0</x:v>
      </x:c>
      <x:c r="AD137" s="30" t="str"/>
      <x:c r="AE137" s="30" t="str">
        <x:v>刷子；spare glass；crank</x:v>
      </x:c>
      <x:c r="AF137" s="30" t="str">
        <x:v>PARTE PARA HIDROLAVADORA 101897 TRUPER</x:v>
      </x:c>
      <x:c r="AG137" s="30" t="str"/>
      <x:c r="AH137" s="30" t="str"/>
      <x:c r="AI137" s="30" t="str"/>
      <x:c r="AJ137" s="30" t="str">
        <x:v>刷子</x:v>
      </x:c>
      <x:c r="AK137" s="30" t="str">
        <x:v>expansion-search-brush-page-01</x:v>
      </x:c>
      <x:c r="AL137" s="30" t="str">
        <x:v>UpKuajing customs company contact API</x:v>
      </x:c>
      <x:c r="AM137" s="30" t="str"/>
      <x:c r="AN137" s="30" t="str"/>
      <x:c r="AO137" s="34" t="n">
        <x:v>46220</x:v>
      </x:c>
    </x:row>
    <x:row r="138" ht="44" customHeight="1">
      <x:c r="A138" s="30" t="str">
        <x:v>API联系方式已获取</x:v>
      </x:c>
      <x:c r="B138" s="30" t="str">
        <x:v>常规-全球</x:v>
      </x:c>
      <x:c r="C138" s="30" t="str">
        <x:v>刷子</x:v>
      </x:c>
      <x:c r="D138" s="31" t="str">
        <x:v>513302</x:v>
      </x:c>
      <x:c r="E138" s="30" t="str">
        <x:v>socopur s.a.c.</x:v>
      </x:c>
      <x:c r="F138" s="30" t="str">
        <x:v>秘鲁</x:v>
      </x:c>
      <x:c r="G138" s="30" t="str">
        <x:v>cfperalta@socopur.com</x:v>
      </x:c>
      <x:c r="H138" s="30" t="str">
        <x:f>IF(ISNUMBER(SEARCH(":1",AC138)),"已验证有效",IF(ISNUMBER(SEARCH(":3",AC138)),"验证不确定",IF(ISNUMBER(SEARCH(":0",AC138)),"接口未能检测",IF(ISNUMBER(SEARCH(":2",AC138)),"判定无效",IF(V138&lt;&gt;"","官网已确认-未验证","无邮箱")))))</x:f>
        <x:v>接口未能检测</x:v>
      </x:c>
      <x:c r="I138" s="30" t="str">
        <x:v>+51 1 5122860</x:v>
      </x:c>
      <x:c r="J138" s="30" t="str">
        <x:v>http://www.socopur.com</x:v>
      </x:c>
      <x:c r="K138" s="35" t="n">
        <x:f>ROUND((IF(H138="已验证有效",40,IF(V138&lt;&gt;"",20,0))+IF(ISNUMBER(SEARCH("状态1",Y138)),25,0)+IF(J138&lt;&gt;"",20,0)+IF(AA138&lt;&gt;"",15,0))/100,2)</x:f>
        <x:v>0.45</x:v>
      </x:c>
      <x:c r="L138" s="30" t="str">
        <x:v>待联系</x:v>
      </x:c>
      <x:c r="M138" s="30" t="str"/>
      <x:c r="N138" s="30" t="str">
        <x:v>av.separadora industrial 651 ate.lima 03 lima - peru</x:v>
      </x:c>
      <x:c r="O138" s="30" t="str"/>
      <x:c r="P138" s="30" t="str">
        <x:v>12，16，200，13，硫酸，开放版，银色，蓝色，贝洛，踏板车，工程塑料黑色</x:v>
      </x:c>
      <x:c r="Q138" s="32" t="n">
        <x:v>1011</x:v>
      </x:c>
      <x:c r="R138" s="32" t="n">
        <x:v>139671</x:v>
      </x:c>
      <x:c r="S138" s="33" t="n">
        <x:v>0.0072</x:v>
      </x:c>
      <x:c r="T138" s="34" t="n">
        <x:v>45950.666666666664</x:v>
      </x:c>
      <x:c r="U138" s="30" t="str">
        <x:v>cfperalta@socopur.com</x:v>
      </x:c>
      <x:c r="V138" s="30" t="str"/>
      <x:c r="W138" s="30" t="str">
        <x:v>+51 1 5122860</x:v>
      </x:c>
      <x:c r="X138" s="30" t="str"/>
      <x:c r="Y138" s="30" t="str">
        <x:v>+51 1 5122860:状态1/类型1/WhatsApp2</x:v>
      </x:c>
      <x:c r="Z138" s="30" t="str"/>
      <x:c r="AA138" s="30" t="str"/>
      <x:c r="AB138" s="30" t="str"/>
      <x:c r="AC138" s="30" t="str">
        <x:v>cfperalta@socopur.com:0</x:v>
      </x:c>
      <x:c r="AD138" s="30" t="str"/>
      <x:c r="AE138" s="30" t="str">
        <x:v>brush cutter；agriculture；mower</x:v>
      </x:c>
      <x:c r="AF138" s="30" t="str">
        <x:v>MOTOGUADAÑA, NITTRO, NTR-520 NITTRO CG520/NTR520. CODIGO PROVEEDOR: CG520-NTR-N SERIE NRO.: NTR52035250109 LOTE: JFY250709</x:v>
      </x:c>
      <x:c r="AG138" s="30" t="str"/>
      <x:c r="AH138" s="30" t="str"/>
      <x:c r="AI138" s="30" t="str"/>
      <x:c r="AJ138" s="30" t="str">
        <x:v>刷子</x:v>
      </x:c>
      <x:c r="AK138" s="30" t="str">
        <x:v>expansion-search-brush-page-01</x:v>
      </x:c>
      <x:c r="AL138" s="30" t="str">
        <x:v>UpKuajing customs company contact API</x:v>
      </x:c>
      <x:c r="AM138" s="30" t="str"/>
      <x:c r="AN138" s="30" t="str"/>
      <x:c r="AO138" s="34" t="n">
        <x:v>46220</x:v>
      </x:c>
    </x:row>
    <x:row r="139" ht="44" customHeight="1">
      <x:c r="A139" s="30" t="str">
        <x:v>API联系方式已获取</x:v>
      </x:c>
      <x:c r="B139" s="30" t="str">
        <x:v>常规-全球</x:v>
      </x:c>
      <x:c r="C139" s="30" t="str">
        <x:v>刷子</x:v>
      </x:c>
      <x:c r="D139" s="31" t="str">
        <x:v>94644</x:v>
      </x:c>
      <x:c r="E139" s="30" t="str">
        <x:v>lucastvs</x:v>
      </x:c>
      <x:c r="F139" s="30" t="str">
        <x:v>印度</x:v>
      </x:c>
      <x:c r="G139" s="30" t="str">
        <x:v>bhawani@lucastvs.co.in</x:v>
      </x:c>
      <x:c r="H139" s="30" t="str">
        <x:f>IF(ISNUMBER(SEARCH(":1",AC139)),"已验证有效",IF(ISNUMBER(SEARCH(":3",AC139)),"验证不确定",IF(ISNUMBER(SEARCH(":0",AC139)),"接口未能检测",IF(ISNUMBER(SEARCH(":2",AC139)),"判定无效",IF(V139&lt;&gt;"","官网已确认-未验证","无邮箱")))))</x:f>
        <x:v>已验证有效</x:v>
      </x:c>
      <x:c r="I139" s="30" t="str">
        <x:v>+91 44 2625 8211</x:v>
      </x:c>
      <x:c r="J139" s="30" t="str">
        <x:v>http://www.lucas-tvs.com/</x:v>
      </x:c>
      <x:c r="K139" s="35" t="n">
        <x:f>ROUND((IF(H139="已验证有效",40,IF(V139&lt;&gt;"",20,0))+IF(ISNUMBER(SEARCH("状态1",Y139)),25,0)+IF(J139&lt;&gt;"",20,0)+IF(AA139&lt;&gt;"",15,0))/100,2)</x:f>
        <x:v>0.85</x:v>
      </x:c>
      <x:c r="L139" s="30" t="str">
        <x:v>待联系</x:v>
      </x:c>
      <x:c r="M139" s="30" t="str"/>
      <x:c r="N139" s="30" t="str">
        <x:v>padi, chennai - 600 050, india</x:v>
      </x:c>
      <x:c r="O139" s="30" t="str"/>
      <x:c r="P139" s="30" t="str">
        <x:v>油规格，巨魔，聚酯薄膜，热电偶，注射机，清漆，支撑单元，磁性传感器，黑色，连接器外壳，轴承座，标准，液压泵，螺母扳手，5，钥匙，电磁阀，兰克，二极管引线</x:v>
      </x:c>
      <x:c r="Q139" s="32" t="n">
        <x:v>1008</x:v>
      </x:c>
      <x:c r="R139" s="32" t="n">
        <x:v>67452</x:v>
      </x:c>
      <x:c r="S139" s="33" t="n">
        <x:v>0.0149</x:v>
      </x:c>
      <x:c r="T139" s="34" t="n">
        <x:v>46078.666666666664</x:v>
      </x:c>
      <x:c r="U139" s="30" t="str">
        <x:v>bhawani@lucastvs.co.in</x:v>
      </x:c>
      <x:c r="V139" s="30" t="str"/>
      <x:c r="W139" s="30" t="str">
        <x:v>+91 44 2625 8211</x:v>
      </x:c>
      <x:c r="X139" s="30" t="str"/>
      <x:c r="Y139" s="30" t="str">
        <x:v>+91 44 2625 8211:状态1/类型1/WhatsApp2</x:v>
      </x:c>
      <x:c r="Z139" s="30" t="str"/>
      <x:c r="AA139" s="30" t="str"/>
      <x:c r="AB139" s="30" t="str"/>
      <x:c r="AC139" s="30" t="str">
        <x:v>bhawani@lucastvs.co.in:1</x:v>
      </x:c>
      <x:c r="AD139" s="30" t="str"/>
      <x:c r="AE139" s="30" t="str">
        <x:v>brush assy；starter motor part；m32；assy</x:v>
      </x:c>
      <x:c r="AF139" s="30" t="str">
        <x:v>CONN BRH ASSY M321C15071 STARTER MOTOR PARTS CONN BRUSH ASSY STARTER MOTOR PARTS</x:v>
      </x:c>
      <x:c r="AG139" s="30" t="str"/>
      <x:c r="AH139" s="30" t="str"/>
      <x:c r="AI139" s="30" t="str"/>
      <x:c r="AJ139" s="30" t="str">
        <x:v>刷子</x:v>
      </x:c>
      <x:c r="AK139" s="30" t="str">
        <x:v>expansion-search-brush-page-01</x:v>
      </x:c>
      <x:c r="AL139" s="30" t="str">
        <x:v>UpKuajing customs company contact API</x:v>
      </x:c>
      <x:c r="AM139" s="30" t="str"/>
      <x:c r="AN139" s="30" t="str"/>
      <x:c r="AO139" s="34" t="n">
        <x:v>46220</x:v>
      </x:c>
    </x:row>
    <x:row r="140" ht="44" customHeight="1">
      <x:c r="A140" s="30" t="str">
        <x:v>API联系方式已获取</x:v>
      </x:c>
      <x:c r="B140" s="30" t="str">
        <x:v>常规-全球</x:v>
      </x:c>
      <x:c r="C140" s="30" t="str">
        <x:v>胶带</x:v>
      </x:c>
      <x:c r="D140" s="31" t="str">
        <x:v>20438395</x:v>
      </x:c>
      <x:c r="E140" s="30" t="str">
        <x:v>SALCOMP TECHNOLOGIES INDIA PRIVATE LIMITED</x:v>
      </x:c>
      <x:c r="F140" s="30" t="str">
        <x:v>印度</x:v>
      </x:c>
      <x:c r="G140" s="30" t="str">
        <x:v>dl_inmaa_finance@salcomp.com</x:v>
      </x:c>
      <x:c r="H140" s="30" t="str">
        <x:f>IF(ISNUMBER(SEARCH(":1",AC140)),"已验证有效",IF(ISNUMBER(SEARCH(":3",AC140)),"验证不确定",IF(ISNUMBER(SEARCH(":0",AC140)),"接口未能检测",IF(ISNUMBER(SEARCH(":2",AC140)),"判定无效",IF(V140&lt;&gt;"","官网已确认-未验证","无邮箱")))))</x:f>
        <x:v>已验证有效</x:v>
      </x:c>
      <x:c r="I140" s="30" t="str"/>
      <x:c r="J140" s="30" t="str">
        <x:v>salcomp.com</x:v>
      </x:c>
      <x:c r="K140" s="35" t="n">
        <x:f>ROUND((IF(H140="已验证有效",40,IF(V140&lt;&gt;"",20,0))+IF(ISNUMBER(SEARCH("状态1",Y140)),25,0)+IF(J140&lt;&gt;"",20,0)+IF(AA140&lt;&gt;"",15,0))/100,2)</x:f>
        <x:v>0.6</x:v>
      </x:c>
      <x:c r="L140" s="30" t="str">
        <x:v>待联系</x:v>
      </x:c>
      <x:c r="M140" s="30" t="str"/>
      <x:c r="N140" s="30" t="str">
        <x:v>NOKIA TELECOM SEZ , SIPCOT INDUSTRIAL PARK , PHASE III, SRIPERUMBUDUR</x:v>
      </x:c>
      <x:c r="O140" s="30" t="str"/>
      <x:c r="P140" s="30" t="str">
        <x:v>暂无经营范围信息</x:v>
      </x:c>
      <x:c r="Q140" s="32" t="n">
        <x:v>941</x:v>
      </x:c>
      <x:c r="R140" s="32" t="n">
        <x:v>24089</x:v>
      </x:c>
      <x:c r="S140" s="33" t="n">
        <x:v>0.0391</x:v>
      </x:c>
      <x:c r="T140" s="34" t="n">
        <x:v>45868.666666666664</x:v>
      </x:c>
      <x:c r="U140" s="30" t="str">
        <x:v>dl_inmaa_finance@salcomp.com</x:v>
      </x:c>
      <x:c r="V140" s="30" t="str"/>
      <x:c r="W140" s="30" t="str"/>
      <x:c r="X140" s="30" t="str"/>
      <x:c r="Y140" s="30" t="str"/>
      <x:c r="Z140" s="30" t="str"/>
      <x:c r="AA140" s="30" t="str"/>
      <x:c r="AB140" s="30" t="str"/>
      <x:c r="AC140" s="30" t="str">
        <x:v>dl_inmaa_finance@salcomp.com:1</x:v>
      </x:c>
      <x:c r="AD140" s="30" t="str">
        <x:v>Single-sided adhesive tape</x:v>
      </x:c>
      <x:c r="AE140" s="30" t="str">
        <x:v>胶粘带；Single-sided</x:v>
      </x:c>
      <x:c r="AF140" s="30" t="str">
        <x:v>ST69640 : 110-P18300851030-I - Single-sided adhesive tape ST69640 : 110-P18300851030-I - Single-sided adhesive tape</x:v>
      </x:c>
      <x:c r="AG140" s="30" t="str">
        <x:v>Self-adhesive tape；Sticky tape；Pressure-sensitive tape；Adhesive strip；胶带</x:v>
      </x:c>
      <x:c r="AH140" s="30" t="str">
        <x:v>塑料；Resin；胶粘剂；纸；薄膜</x:v>
      </x:c>
      <x:c r="AI140" s="30" t="str">
        <x:v>包装；标签制作；手工艺；Repair；Decoration</x:v>
      </x:c>
      <x:c r="AJ140" s="30" t="str">
        <x:v>胶带</x:v>
      </x:c>
      <x:c r="AK140" s="30" t="str">
        <x:v>expansion-search-tape-page-03</x:v>
      </x:c>
      <x:c r="AL140" s="30" t="str">
        <x:v>UpKuajing customs company contact API</x:v>
      </x:c>
      <x:c r="AM140" s="30" t="str"/>
      <x:c r="AN140" s="30" t="str"/>
      <x:c r="AO140" s="34" t="n">
        <x:v>46220</x:v>
      </x:c>
    </x:row>
    <x:row r="141" ht="44" customHeight="1">
      <x:c r="A141" s="30" t="str">
        <x:v>API联系方式已获取</x:v>
      </x:c>
      <x:c r="B141" s="30" t="str">
        <x:v>常规-全球</x:v>
      </x:c>
      <x:c r="C141" s="30" t="str">
        <x:v>刷子</x:v>
      </x:c>
      <x:c r="D141" s="31" t="str">
        <x:v>20406552</x:v>
      </x:c>
      <x:c r="E141" s="30" t="str">
        <x:v>KARCHER CLEANING SYSTEMS PRIVATE LIMITED</x:v>
      </x:c>
      <x:c r="F141" s="30" t="str">
        <x:v>印度</x:v>
      </x:c>
      <x:c r="G141" s="30" t="str">
        <x:v>info.in@kaercher.com</x:v>
      </x:c>
      <x:c r="H141" s="30" t="str">
        <x:f>IF(ISNUMBER(SEARCH(":1",AC141)),"已验证有效",IF(ISNUMBER(SEARCH(":3",AC141)),"验证不确定",IF(ISNUMBER(SEARCH(":0",AC141)),"接口未能检测",IF(ISNUMBER(SEARCH(":2",AC141)),"判定无效",IF(V141&lt;&gt;"","官网已确认-未验证","无邮箱")))))</x:f>
        <x:v>已验证有效</x:v>
      </x:c>
      <x:c r="I141" s="30" t="str"/>
      <x:c r="J141" s="30" t="str">
        <x:v>www.karcher.in</x:v>
      </x:c>
      <x:c r="K141" s="35" t="n">
        <x:f>ROUND((IF(H141="已验证有效",40,IF(V141&lt;&gt;"",20,0))+IF(ISNUMBER(SEARCH("状态1",Y141)),25,0)+IF(J141&lt;&gt;"",20,0)+IF(AA141&lt;&gt;"",15,0))/100,2)</x:f>
        <x:v>0.75</x:v>
      </x:c>
      <x:c r="L141" s="30" t="str">
        <x:v>待联系</x:v>
      </x:c>
      <x:c r="M141" s="30" t="str"/>
      <x:c r="N141" s="30" t="str">
        <x:v>LEVEL 4, B-WING, STATESMEN HOUSE BUILDING BARAKHAMBA ROAD, CONNAUGHT PLACE</x:v>
      </x:c>
      <x:c r="O141" s="30" t="str"/>
      <x:c r="P141" s="30" t="str">
        <x:v>清洁设备</x:v>
      </x:c>
      <x:c r="Q141" s="32" t="n">
        <x:v>713</x:v>
      </x:c>
      <x:c r="R141" s="32" t="n">
        <x:v>63539</x:v>
      </x:c>
      <x:c r="S141" s="33" t="n">
        <x:v>0.011200000000000002</x:v>
      </x:c>
      <x:c r="T141" s="34" t="n">
        <x:v>45867.666666666664</x:v>
      </x:c>
      <x:c r="U141" s="30" t="str">
        <x:v>info.in@kaercher.com; service.in@kaercher.com; service.in@karcher.com; sumit.kumar@in.kaercher.com</x:v>
      </x:c>
      <x:c r="V141" s="30" t="str"/>
      <x:c r="W141" s="30" t="str"/>
      <x:c r="X141" s="30" t="str"/>
      <x:c r="Y141" s="30" t="str"/>
      <x:c r="Z141" s="30" t="str"/>
      <x:c r="AA141" s="30" t="str">
        <x:v>https://www.facebook.com/KaercherIndia; https://www.facebook.com/Karcher-India-633428713389440; https://www.instagram.com/karcherindiaofficial; https://www.linkedin.com/company/karcher-india; https://www.linkedin.com/company/karcherindia; https://twitter.com/KaercherIndia; https://www.youtube.com/@karcherindia4237; https://www.youtube.com/channel/UCkYU8BuORw2WhRP9oaTMfHw</x:v>
      </x:c>
      <x:c r="AB141" s="30" t="str"/>
      <x:c r="AC141" s="30" t="str">
        <x:v>info.in@kaercher.com:1; service.in@kaercher.com:1; service.in@karcher.com:1; sumit.kumar@in.kaercher.com:0</x:v>
      </x:c>
      <x:c r="AD141" s="30" t="str">
        <x:v>Disc brush</x:v>
      </x:c>
      <x:c r="AE141" s="30" t="str">
        <x:v>Disc brush；Mechanical cleaning；Spare parts</x:v>
      </x:c>
      <x:c r="AF141" s="30" t="str">
        <x:v>9.753-241.0 Disc brush complete D45 MAKE-KARCHER (SPARES FORMECHANICAL CLEANING EQUIPMENT)9.753-241.0 Disc brush complete D45 MAKE-KARCHER (SPARES FOR</x:v>
      </x:c>
      <x:c r="AG141" s="30" t="str">
        <x:v>Disk brush；Circular brush；Rotary brush；Cleaning brush；Scrubbing brush</x:v>
      </x:c>
      <x:c r="AH141" s="30" t="str">
        <x:v>塑料；金属；Bristles；Brush handle；Brush head</x:v>
      </x:c>
      <x:c r="AI141" s="30" t="str">
        <x:v>Floor cleaning；Wall cleaning；Vehicle cleaning；Industrial equipment cleaning；Home appliance cleaning</x:v>
      </x:c>
      <x:c r="AJ141" s="30" t="str">
        <x:v>刷子</x:v>
      </x:c>
      <x:c r="AK141" s="30" t="str">
        <x:v>expansion-search-brush-page-01</x:v>
      </x:c>
      <x:c r="AL141" s="30" t="str">
        <x:v>UpKuajing customs company contact API</x:v>
      </x:c>
      <x:c r="AM141" s="30" t="str"/>
      <x:c r="AN141" s="30" t="str"/>
      <x:c r="AO141" s="34" t="n">
        <x:v>46220</x:v>
      </x:c>
    </x:row>
    <x:row r="142" ht="44" customHeight="1">
      <x:c r="A142" s="30" t="str">
        <x:v>API联系方式已获取</x:v>
      </x:c>
      <x:c r="B142" s="30" t="str">
        <x:v>常规-全球</x:v>
      </x:c>
      <x:c r="C142" s="30" t="str">
        <x:v>胶带；刷子</x:v>
      </x:c>
      <x:c r="D142" s="31" t="str">
        <x:v>20438566</x:v>
      </x:c>
      <x:c r="E142" s="30" t="str">
        <x:v>K H EXPORTS INDIA PRIVATE LIMITED</x:v>
      </x:c>
      <x:c r="F142" s="30" t="str">
        <x:v>印度</x:v>
      </x:c>
      <x:c r="G142" s="30" t="str">
        <x:v>khgroups@khindia.com</x:v>
      </x:c>
      <x:c r="H142" s="30" t="str">
        <x:f>IF(ISNUMBER(SEARCH(":1",AC142)),"已验证有效",IF(ISNUMBER(SEARCH(":3",AC142)),"验证不确定",IF(ISNUMBER(SEARCH(":0",AC142)),"接口未能检测",IF(ISNUMBER(SEARCH(":2",AC142)),"判定无效",IF(V142&lt;&gt;"","官网已确认-未验证","无邮箱")))))</x:f>
        <x:v>已验证有效</x:v>
      </x:c>
      <x:c r="I142" s="30" t="str"/>
      <x:c r="J142" s="30" t="str">
        <x:v>www.khindia.net</x:v>
      </x:c>
      <x:c r="K142" s="35" t="n">
        <x:f>ROUND((IF(H142="已验证有效",40,IF(V142&lt;&gt;"",20,0))+IF(ISNUMBER(SEARCH("状态1",Y142)),25,0)+IF(J142&lt;&gt;"",20,0)+IF(AA142&lt;&gt;"",15,0))/100,2)</x:f>
        <x:v>0.6</x:v>
      </x:c>
      <x:c r="L142" s="30" t="str">
        <x:v>待联系</x:v>
      </x:c>
      <x:c r="M142" s="30" t="str"/>
      <x:c r="N142" s="30" t="str">
        <x:v>"KH" CENTRE, NO. 15/2 COLLEGE ROAD , NUNGAMBAKKAM</x:v>
      </x:c>
      <x:c r="O142" s="30" t="str"/>
      <x:c r="P142" s="30" t="str">
        <x:v>皮具</x:v>
      </x:c>
      <x:c r="Q142" s="32" t="n">
        <x:v>633</x:v>
      </x:c>
      <x:c r="R142" s="32" t="n">
        <x:v>53425</x:v>
      </x:c>
      <x:c r="S142" s="33" t="n">
        <x:v>0.0118</x:v>
      </x:c>
      <x:c r="T142" s="34" t="n">
        <x:v>45866.666666666664</x:v>
      </x:c>
      <x:c r="U142" s="30" t="str">
        <x:v>khgroups@khindia.com</x:v>
      </x:c>
      <x:c r="V142" s="30" t="str"/>
      <x:c r="W142" s="30" t="str"/>
      <x:c r="X142" s="30" t="str"/>
      <x:c r="Y142" s="30" t="str"/>
      <x:c r="Z142" s="30" t="str"/>
      <x:c r="AA142" s="30" t="str"/>
      <x:c r="AB142" s="30" t="str"/>
      <x:c r="AC142" s="30" t="str">
        <x:v>khgroups@khindia.com:1</x:v>
      </x:c>
      <x:c r="AD142" s="30" t="str">
        <x:v>3M Tape</x:v>
      </x:c>
      <x:c r="AE142" s="30" t="str">
        <x:v>3M；胶带</x:v>
      </x:c>
      <x:c r="AF142" s="30" t="str">
        <x:v>3M TAPE IN 10MM WIDTH - 80 YDS 3M TAPE IN 5MM WIDTH; LINING MATERIAL - 210 YDS( QJF-FW18027BC 100% BETTER COTTONWITHWAXY+6OZ BRUSH FABRIC/100%POLYESTER 54 )LINING MATERIAL</x:v>
      </x:c>
      <x:c r="AG142" s="30" t="str">
        <x:v>胶粘带；Sticky tape；Bonding tape；Self - adhesive tape；Pressure - sensitive tape</x:v>
      </x:c>
      <x:c r="AH142" s="30" t="str">
        <x:v>塑料；胶粘剂；Resin；纸；Fiber</x:v>
      </x:c>
      <x:c r="AI142" s="30" t="str">
        <x:v>包装；Electronics；Automotive；建筑施工；手工艺</x:v>
      </x:c>
      <x:c r="AJ142" s="30" t="str">
        <x:v>胶带；刷子</x:v>
      </x:c>
      <x:c r="AK142" s="30" t="str">
        <x:v>expansion-search-tape-page-03; expansion-search-brush-page-06</x:v>
      </x:c>
      <x:c r="AL142" s="30" t="str">
        <x:v>UpKuajing customs company contact API</x:v>
      </x:c>
      <x:c r="AM142" s="30" t="str"/>
      <x:c r="AN142" s="30" t="str"/>
      <x:c r="AO142" s="34" t="n">
        <x:v>46220</x:v>
      </x:c>
    </x:row>
    <x:row r="143" ht="44" customHeight="1">
      <x:c r="A143" s="30" t="str">
        <x:v>API联系方式已获取</x:v>
      </x:c>
      <x:c r="B143" s="30" t="str">
        <x:v>常规-全球</x:v>
      </x:c>
      <x:c r="C143" s="30" t="str">
        <x:v>刷子</x:v>
      </x:c>
      <x:c r="D143" s="31" t="str">
        <x:v>20430861</x:v>
      </x:c>
      <x:c r="E143" s="30" t="str">
        <x:v>MITSUBA INDIA PRIVATE LIMITED</x:v>
      </x:c>
      <x:c r="F143" s="30" t="str">
        <x:v>印度</x:v>
      </x:c>
      <x:c r="G143" s="30" t="str">
        <x:v>ramalingam-s@msil.mitsuba-gr.com</x:v>
      </x:c>
      <x:c r="H143" s="30" t="str">
        <x:f>IF(ISNUMBER(SEARCH(":1",AC143)),"已验证有效",IF(ISNUMBER(SEARCH(":3",AC143)),"验证不确定",IF(ISNUMBER(SEARCH(":0",AC143)),"接口未能检测",IF(ISNUMBER(SEARCH(":2",AC143)),"判定无效",IF(V143&lt;&gt;"","官网已确认-未验证","无邮箱")))))</x:f>
        <x:v>已验证有效</x:v>
      </x:c>
      <x:c r="I143" s="30" t="str">
        <x:v>+91 44 2792 2558</x:v>
      </x:c>
      <x:c r="J143" s="30" t="str">
        <x:v>www.mitsuba.co.jp</x:v>
      </x:c>
      <x:c r="K143" s="35" t="n">
        <x:f>ROUND((IF(H143="已验证有效",40,IF(V143&lt;&gt;"",20,0))+IF(ISNUMBER(SEARCH("状态1",Y143)),25,0)+IF(J143&lt;&gt;"",20,0)+IF(AA143&lt;&gt;"",15,0))/100,2)</x:f>
        <x:v>0.85</x:v>
      </x:c>
      <x:c r="L143" s="30" t="str">
        <x:v>待联系</x:v>
      </x:c>
      <x:c r="M143" s="30" t="str"/>
      <x:c r="N143" s="30" t="str">
        <x:v>D-8, SIPCOT INDUSTRIAL COMPLEX , GUMMIDIPOONDI</x:v>
      </x:c>
      <x:c r="O143" s="30" t="str"/>
      <x:c r="P143" s="30" t="str">
        <x:v>机动车辆零配件</x:v>
      </x:c>
      <x:c r="Q143" s="32" t="n">
        <x:v>530</x:v>
      </x:c>
      <x:c r="R143" s="32" t="n">
        <x:v>20890</x:v>
      </x:c>
      <x:c r="S143" s="33" t="n">
        <x:v>0.0254</x:v>
      </x:c>
      <x:c r="T143" s="34" t="n">
        <x:v>46063.666666666664</x:v>
      </x:c>
      <x:c r="U143" s="30" t="str">
        <x:v>ramalingam-s@msil.mitsuba-gr.com</x:v>
      </x:c>
      <x:c r="V143" s="30" t="str"/>
      <x:c r="W143" s="30" t="str">
        <x:v>+91 44 2792 2558</x:v>
      </x:c>
      <x:c r="X143" s="30" t="str"/>
      <x:c r="Y143" s="30" t="str">
        <x:v>+91 44 2792 2558:状态1/类型1/WhatsApp2</x:v>
      </x:c>
      <x:c r="Z143" s="30" t="str"/>
      <x:c r="AA143" s="30" t="str"/>
      <x:c r="AB143" s="30" t="str"/>
      <x:c r="AC143" s="30" t="str">
        <x:v>ramalingam-s@msil.mitsuba-gr.com:1</x:v>
      </x:c>
      <x:c r="AD143" s="30" t="str"/>
      <x:c r="AE143" s="30" t="str"/>
      <x:c r="AF143" s="30" t="str">
        <x:v>A6297-261-01-000#&amp;Steel spring, coiled type, used in the manufacture of pump devices for electronic fuel pumps in motorcycles/FP26A001A,SPRING,,BRUSH P/N: A6297-261-01-000, 100% new#&amp;VN</x:v>
      </x:c>
      <x:c r="AG143" s="30" t="str"/>
      <x:c r="AH143" s="30" t="str"/>
      <x:c r="AI143" s="30" t="str"/>
      <x:c r="AJ143" s="30" t="str">
        <x:v>刷子</x:v>
      </x:c>
      <x:c r="AK143" s="30" t="str">
        <x:v>expansion-search-brush-page-04</x:v>
      </x:c>
      <x:c r="AL143" s="30" t="str">
        <x:v>UpKuajing customs company contact API</x:v>
      </x:c>
      <x:c r="AM143" s="30" t="str"/>
      <x:c r="AN143" s="30" t="str"/>
      <x:c r="AO143" s="34" t="n">
        <x:v>46220</x:v>
      </x:c>
    </x:row>
    <x:row r="144" ht="44" customHeight="1">
      <x:c r="A144" s="30" t="str">
        <x:v>API联系方式已获取</x:v>
      </x:c>
      <x:c r="B144" s="30" t="str">
        <x:v>常规-全球</x:v>
      </x:c>
      <x:c r="C144" s="30" t="str">
        <x:v>刷子</x:v>
      </x:c>
      <x:c r="D144" s="31" t="str">
        <x:v>20441648</x:v>
      </x:c>
      <x:c r="E144" s="30" t="str">
        <x:v>SEPHORA COSMETICS PRIVATE LIMITED</x:v>
      </x:c>
      <x:c r="F144" s="30" t="str">
        <x:v>印度</x:v>
      </x:c>
      <x:c r="G144" s="30" t="str">
        <x:v>hnguyen@sephora.sg</x:v>
      </x:c>
      <x:c r="H144" s="30" t="str">
        <x:f>IF(ISNUMBER(SEARCH(":1",AC144)),"已验证有效",IF(ISNUMBER(SEARCH(":3",AC144)),"验证不确定",IF(ISNUMBER(SEARCH(":0",AC144)),"接口未能检测",IF(ISNUMBER(SEARCH(":2",AC144)),"判定无效",IF(V144&lt;&gt;"","官网已确认-未验证","无邮箱")))))</x:f>
        <x:v>已验证有效</x:v>
      </x:c>
      <x:c r="I144" s="30" t="str">
        <x:v>+91 11 6654 4727</x:v>
      </x:c>
      <x:c r="J144" s="30" t="str">
        <x:v>www.sephora.nnnow.com</x:v>
      </x:c>
      <x:c r="K144" s="35" t="n">
        <x:f>ROUND((IF(H144="已验证有效",40,IF(V144&lt;&gt;"",20,0))+IF(ISNUMBER(SEARCH("状态1",Y144)),25,0)+IF(J144&lt;&gt;"",20,0)+IF(AA144&lt;&gt;"",15,0))/100,2)</x:f>
        <x:v>0.85</x:v>
      </x:c>
      <x:c r="L144" s="30" t="str">
        <x:v>待联系</x:v>
      </x:c>
      <x:c r="M144" s="30" t="str"/>
      <x:c r="N144" s="30" t="str">
        <x:v>NO. 27, GROUND FLOOR RECTANGLE-1, SAKET DISTRICT CENTRE , NO. D-4 , SAKET</x:v>
      </x:c>
      <x:c r="O144" s="30" t="str"/>
      <x:c r="P144" s="30" t="str">
        <x:v>暂无经营范围信息</x:v>
      </x:c>
      <x:c r="Q144" s="32" t="n">
        <x:v>375</x:v>
      </x:c>
      <x:c r="R144" s="32" t="n">
        <x:v>37464</x:v>
      </x:c>
      <x:c r="S144" s="33" t="n">
        <x:v>0.01</x:v>
      </x:c>
      <x:c r="T144" s="34" t="n">
        <x:v>45867.666666666664</x:v>
      </x:c>
      <x:c r="U144" s="30" t="str">
        <x:v>hnguyen@sephora.sg</x:v>
      </x:c>
      <x:c r="V144" s="30" t="str"/>
      <x:c r="W144" s="30" t="str">
        <x:v>+91 11 6654 4727</x:v>
      </x:c>
      <x:c r="X144" s="30" t="str"/>
      <x:c r="Y144" s="30" t="str">
        <x:v>+91 11 6654 4727:状态1/类型1/WhatsApp2</x:v>
      </x:c>
      <x:c r="Z144" s="30" t="str"/>
      <x:c r="AA144" s="30" t="str"/>
      <x:c r="AB144" s="30" t="str"/>
      <x:c r="AC144" s="30" t="str">
        <x:v>hnguyen@sephora.sg:1</x:v>
      </x:c>
      <x:c r="AD144" s="30" t="str">
        <x:v>Face Brush Set</x:v>
      </x:c>
      <x:c r="AE144" s="30" t="str">
        <x:v>Face Brush Set</x:v>
      </x:c>
      <x:c r="AF144" s="30" t="str">
        <x:v>697583 THE FACE BRUSH SET-24 697583 THE FACE BRUSH SET-24</x:v>
      </x:c>
      <x:c r="AG144" s="30" t="str">
        <x:v>Facial Brush Set；Makeup Brush Set；Beauty Brush Set；Cosmetic Brush Set；Face Makeup Brush Set</x:v>
      </x:c>
      <x:c r="AH144" s="30" t="str">
        <x:v>塑料；Wood；Hair；Nylon；金属</x:v>
      </x:c>
      <x:c r="AI144" s="30" t="str">
        <x:v>Cosmetics；Makeup Products；Beauty Salons；Retail Stores；Online Marketplaces</x:v>
      </x:c>
      <x:c r="AJ144" s="30" t="str">
        <x:v>刷子</x:v>
      </x:c>
      <x:c r="AK144" s="30" t="str">
        <x:v>expansion-search-brush-page-06</x:v>
      </x:c>
      <x:c r="AL144" s="30" t="str">
        <x:v>UpKuajing customs company contact API</x:v>
      </x:c>
      <x:c r="AM144" s="30" t="str"/>
      <x:c r="AN144" s="30" t="str"/>
      <x:c r="AO144" s="34" t="n">
        <x:v>46220</x:v>
      </x:c>
    </x:row>
    <x:row r="145" ht="44" customHeight="1">
      <x:c r="A145" s="30" t="str">
        <x:v>API联系方式已获取</x:v>
      </x:c>
      <x:c r="B145" s="30" t="str">
        <x:v>常规-全球</x:v>
      </x:c>
      <x:c r="C145" s="30" t="str">
        <x:v>刷子</x:v>
      </x:c>
      <x:c r="D145" s="31" t="str">
        <x:v>20430995</x:v>
      </x:c>
      <x:c r="E145" s="30" t="str">
        <x:v>MUMUSO RETAIL PRIVATE LIMITED</x:v>
      </x:c>
      <x:c r="F145" s="30" t="str">
        <x:v>印度</x:v>
      </x:c>
      <x:c r="G145" s="30" t="str">
        <x:v>ac.mumuso@gmail.com</x:v>
      </x:c>
      <x:c r="H145" s="30" t="str">
        <x:f>IF(ISNUMBER(SEARCH(":1",AC145)),"已验证有效",IF(ISNUMBER(SEARCH(":3",AC145)),"验证不确定",IF(ISNUMBER(SEARCH(":0",AC145)),"接口未能检测",IF(ISNUMBER(SEARCH(":2",AC145)),"判定无效",IF(V145&lt;&gt;"","官网已确认-未验证","无邮箱")))))</x:f>
        <x:v>已验证有效</x:v>
      </x:c>
      <x:c r="I145" s="30" t="str">
        <x:v>+91 99036 38899</x:v>
      </x:c>
      <x:c r="J145" s="30" t="str">
        <x:v>www.mumuso.co.in</x:v>
      </x:c>
      <x:c r="K145" s="35" t="n">
        <x:f>ROUND((IF(H145="已验证有效",40,IF(V145&lt;&gt;"",20,0))+IF(ISNUMBER(SEARCH("状态1",Y145)),25,0)+IF(J145&lt;&gt;"",20,0)+IF(AA145&lt;&gt;"",15,0))/100,2)</x:f>
        <x:v>1</x:v>
      </x:c>
      <x:c r="L145" s="30" t="str">
        <x:v>待联系</x:v>
      </x:c>
      <x:c r="M145" s="30" t="str"/>
      <x:c r="N145" s="30" t="str">
        <x:v>SIKKIM COMMERCE HOUSE, SIXTH FLOOR, NO. 4/1, MIDDLETON STREET</x:v>
      </x:c>
      <x:c r="O145" s="30" t="str"/>
      <x:c r="P145" s="30" t="str">
        <x:v>暂无经营范围信息</x:v>
      </x:c>
      <x:c r="Q145" s="32" t="n">
        <x:v>220</x:v>
      </x:c>
      <x:c r="R145" s="32" t="n">
        <x:v>10832</x:v>
      </x:c>
      <x:c r="S145" s="33" t="n">
        <x:v>0.0203</x:v>
      </x:c>
      <x:c r="T145" s="34" t="n">
        <x:v>45865.666666666664</x:v>
      </x:c>
      <x:c r="U145" s="30" t="str">
        <x:v>ac.mumuso@gmail.com; customercare@mumuso.co</x:v>
      </x:c>
      <x:c r="V145" s="30" t="str"/>
      <x:c r="W145" s="30" t="str">
        <x:v>+91 99036 38899; 03340069265</x:v>
      </x:c>
      <x:c r="X145" s="30" t="str"/>
      <x:c r="Y145" s="30" t="str">
        <x:v>+91 99036 38899:状态1/类型2/WhatsApp1; 03340069265:状态2/类型0/WhatsApp0</x:v>
      </x:c>
      <x:c r="Z145" s="30" t="str">
        <x:v>+91 99036 38899</x:v>
      </x:c>
      <x:c r="AA145" s="30" t="str">
        <x:v>https://www.facebook.com/MUMUSOIndia; https://www.instagram.com/mumusoindia; https://www.linkedin.com/company/mumusoindia; https://www.youtube.com/channel/UCaiWixtQDQGjXoLYdXspgPQ</x:v>
      </x:c>
      <x:c r="AB145" s="30" t="str"/>
      <x:c r="AC145" s="30" t="str">
        <x:v>ac.mumuso@gmail.com:1; customercare@mumuso.co:0</x:v>
      </x:c>
      <x:c r="AD145" s="30" t="str"/>
      <x:c r="AE145" s="30" t="str"/>
      <x:c r="AF145" s="30" t="str">
        <x:v>AIR CUSHION HAIR BRUSH WITH CLEANING SCRAPER (RECTANGULAR/BLUE)AIR CUSHION HAIR BRUSH WITH CLEANING SCRAPER (RECTANGULAR/BL</x:v>
      </x:c>
      <x:c r="AG145" s="30" t="str"/>
      <x:c r="AH145" s="30" t="str"/>
      <x:c r="AI145" s="30" t="str"/>
      <x:c r="AJ145" s="30" t="str">
        <x:v>刷子</x:v>
      </x:c>
      <x:c r="AK145" s="30" t="str">
        <x:v>expansion-search-brush-page-04</x:v>
      </x:c>
      <x:c r="AL145" s="30" t="str">
        <x:v>UpKuajing customs company contact API</x:v>
      </x:c>
      <x:c r="AM145" s="30" t="str"/>
      <x:c r="AN145" s="30" t="str"/>
      <x:c r="AO145" s="34" t="n">
        <x:v>46220</x:v>
      </x:c>
    </x:row>
    <x:row r="146" ht="44" customHeight="1">
      <x:c r="A146" s="30" t="str">
        <x:v>API联系方式已获取</x:v>
      </x:c>
      <x:c r="B146" s="30" t="str">
        <x:v>常规-全球</x:v>
      </x:c>
      <x:c r="C146" s="30" t="str">
        <x:v>刷子</x:v>
      </x:c>
      <x:c r="D146" s="31" t="str">
        <x:v>20443433</x:v>
      </x:c>
      <x:c r="E146" s="30" t="str">
        <x:v>LULU INTERNATIONAL SHOPPING MALLS PRIVATE LIMITED</x:v>
      </x:c>
      <x:c r="F146" s="30" t="str">
        <x:v>印度</x:v>
      </x:c>
      <x:c r="G146" s="30" t="str">
        <x:v>sunilagarwal@in.lulumea.com</x:v>
      </x:c>
      <x:c r="H146" s="30" t="str">
        <x:f>IF(ISNUMBER(SEARCH(":1",AC146)),"已验证有效",IF(ISNUMBER(SEARCH(":3",AC146)),"验证不确定",IF(ISNUMBER(SEARCH(":0",AC146)),"接口未能检测",IF(ISNUMBER(SEARCH(":2",AC146)),"判定无效",IF(V146&lt;&gt;"","官网已确认-未验证","无邮箱")))))</x:f>
        <x:v>已验证有效</x:v>
      </x:c>
      <x:c r="I146" s="30" t="str">
        <x:v>+91 484 272 7700</x:v>
      </x:c>
      <x:c r="J146" s="30" t="str">
        <x:v>www.lulumall.in</x:v>
      </x:c>
      <x:c r="K146" s="35" t="n">
        <x:f>ROUND((IF(H146="已验证有效",40,IF(V146&lt;&gt;"",20,0))+IF(ISNUMBER(SEARCH("状态1",Y146)),25,0)+IF(J146&lt;&gt;"",20,0)+IF(AA146&lt;&gt;"",15,0))/100,2)</x:f>
        <x:v>0.85</x:v>
      </x:c>
      <x:c r="L146" s="30" t="str">
        <x:v>待联系</x:v>
      </x:c>
      <x:c r="M146" s="30" t="str"/>
      <x:c r="N146" s="30" t="str">
        <x:v>34/1000 N.H. 47 EDAPPALLY KOCHI ERNAKULAM</x:v>
      </x:c>
      <x:c r="O146" s="30" t="str"/>
      <x:c r="P146" s="30" t="str">
        <x:v>经营购物中心；消费品和服务</x:v>
      </x:c>
      <x:c r="Q146" s="32" t="n">
        <x:v>126</x:v>
      </x:c>
      <x:c r="R146" s="32" t="n">
        <x:v>26574</x:v>
      </x:c>
      <x:c r="S146" s="33" t="n">
        <x:v>0.004699999999999999</x:v>
      </x:c>
      <x:c r="T146" s="34" t="n">
        <x:v>45868.666666666664</x:v>
      </x:c>
      <x:c r="U146" s="30" t="str">
        <x:v>sunilagarwal@in.lulumea.com</x:v>
      </x:c>
      <x:c r="V146" s="30" t="str"/>
      <x:c r="W146" s="30" t="str">
        <x:v>+91 484 272 7700</x:v>
      </x:c>
      <x:c r="X146" s="30" t="str"/>
      <x:c r="Y146" s="30" t="str">
        <x:v>+91 484 272 7700:状态1/类型1/WhatsApp2</x:v>
      </x:c>
      <x:c r="Z146" s="30" t="str"/>
      <x:c r="AA146" s="30" t="str"/>
      <x:c r="AB146" s="30" t="str"/>
      <x:c r="AC146" s="30" t="str">
        <x:v>sunilagarwal@in.lulumea.com:1</x:v>
      </x:c>
      <x:c r="AD146" s="30" t="str">
        <x:v>Dish brush</x:v>
      </x:c>
      <x:c r="AE146" s="30" t="str">
        <x:v>Dish brush</x:v>
      </x:c>
      <x:c r="AF146" s="30" t="str">
        <x:v>DISH BRUSH DISH BRUSH</x:v>
      </x:c>
      <x:c r="AG146" s="30" t="str">
        <x:v>Kitchen brush；Plate brush；Utensil brush；Dish scrubber；Crockery brush</x:v>
      </x:c>
      <x:c r="AH146" s="30" t="str">
        <x:v>塑料；Bristles；Wood；金属；橡胶</x:v>
      </x:c>
      <x:c r="AI146" s="30" t="str">
        <x:v>Kitchenware；Cleaning supplies；家用电器；Restaurant equipment；Hotel supplies</x:v>
      </x:c>
      <x:c r="AJ146" s="30" t="str">
        <x:v>刷子</x:v>
      </x:c>
      <x:c r="AK146" s="30" t="str">
        <x:v>expansion-search-brush-page-07</x:v>
      </x:c>
      <x:c r="AL146" s="30" t="str">
        <x:v>UpKuajing customs company contact API</x:v>
      </x:c>
      <x:c r="AM146" s="30" t="str"/>
      <x:c r="AN146" s="30" t="str"/>
      <x:c r="AO146" s="34" t="n">
        <x:v>46220</x:v>
      </x:c>
    </x:row>
    <x:row r="147" ht="44" customHeight="1">
      <x:c r="A147" s="30" t="str">
        <x:v>API联系方式已获取</x:v>
      </x:c>
      <x:c r="B147" s="30" t="str">
        <x:v>常规-全球</x:v>
      </x:c>
      <x:c r="C147" s="30" t="str">
        <x:v>刷子</x:v>
      </x:c>
      <x:c r="D147" s="31" t="str">
        <x:v>20452014</x:v>
      </x:c>
      <x:c r="E147" s="30" t="str">
        <x:v>KOMATSU CHILE S A</x:v>
      </x:c>
      <x:c r="F147" s="30" t="str">
        <x:v>智利</x:v>
      </x:c>
      <x:c r="G147" s="30" t="str">
        <x:v>kchrecepcion@dte.custodium.com</x:v>
      </x:c>
      <x:c r="H147" s="30" t="str">
        <x:f>IF(ISNUMBER(SEARCH(":1",AC147)),"已验证有效",IF(ISNUMBER(SEARCH(":3",AC147)),"验证不确定",IF(ISNUMBER(SEARCH(":0",AC147)),"接口未能检测",IF(ISNUMBER(SEARCH(":2",AC147)),"判定无效",IF(V147&lt;&gt;"","官网已确认-未验证","无邮箱")))))</x:f>
        <x:v>接口未能检测</x:v>
      </x:c>
      <x:c r="I147" s="30" t="str">
        <x:v>+56 51 221 1453</x:v>
      </x:c>
      <x:c r="J147" s="30" t="str">
        <x:v>www.komatsu.cl</x:v>
      </x:c>
      <x:c r="K147" s="35" t="n">
        <x:f>ROUND((IF(H147="已验证有效",40,IF(V147&lt;&gt;"",20,0))+IF(ISNUMBER(SEARCH("状态1",Y147)),25,0)+IF(J147&lt;&gt;"",20,0)+IF(AA147&lt;&gt;"",15,0))/100,2)</x:f>
        <x:v>0.6</x:v>
      </x:c>
      <x:c r="L147" s="30" t="str">
        <x:v>待联系</x:v>
      </x:c>
      <x:c r="M147" s="30" t="str"/>
      <x:c r="N147" s="30" t="str">
        <x:v>AVENIDA AMERICO VESPUCIO 631 , QUILICURA</x:v>
      </x:c>
      <x:c r="O147" s="30" t="str"/>
      <x:c r="P147" s="30" t="str">
        <x:v>用于建筑、基础设施、采石、采矿、航运、运输、炼油和公用事业行业的机械和设备</x:v>
      </x:c>
      <x:c r="Q147" s="32" t="n">
        <x:v>87</x:v>
      </x:c>
      <x:c r="R147" s="32" t="n">
        <x:v>104365</x:v>
      </x:c>
      <x:c r="S147" s="33" t="n">
        <x:v>0.0008</x:v>
      </x:c>
      <x:c r="T147" s="34" t="n">
        <x:v>45819.666666666664</x:v>
      </x:c>
      <x:c r="U147" s="30" t="str">
        <x:v>kchrecepcion@dte.custodium.com</x:v>
      </x:c>
      <x:c r="V147" s="30" t="str"/>
      <x:c r="W147" s="30" t="str">
        <x:v>+56 51 221 1453; 6003640100</x:v>
      </x:c>
      <x:c r="X147" s="30" t="str"/>
      <x:c r="Y147" s="30" t="str">
        <x:v>+56 51 221 1453:状态1/类型3/WhatsApp2; 6003640100:状态2/类型0/WhatsApp2</x:v>
      </x:c>
      <x:c r="Z147" s="30" t="str"/>
      <x:c r="AA147" s="30" t="str">
        <x:v>https://www.facebook.com/KomatsuChileCL; https://www.instagram.com/komatsu.chile; https://www.linkedin.com/company/komatsu-cummins-chile-s-a-/?originalSubdomain=cl; https://www.youtube.com/channel/UCtmMFVVM_6H18zLA_Y4DcBA</x:v>
      </x:c>
      <x:c r="AB147" s="30" t="str"/>
      <x:c r="AC147" s="30" t="str">
        <x:v>kchrecepcion@dte.custodium.com:0</x:v>
      </x:c>
      <x:c r="AD147" s="30" t="str">
        <x:v>Carbon Brush Holder；Unvulcanized Rubber Articles</x:v>
      </x:c>
      <x:c r="AE147" s="30" t="str">
        <x:v>Carbon Brush Holder；Unvulcanized Rubber；Mining Machinery；Electrical System</x:v>
      </x:c>
      <x:c r="AF147" s="30" t="str">
        <x:v>PORTAESCOBILLASW.S.S.-FVS8587PARA ESCOBILLAS DE CARBON DE SISTEMA ELECTRICO DE MAQUINARIAMINERA LOS DEMAS ARTICULOS DE CAUCHO SIN VULCANIZAR.</x:v>
      </x:c>
      <x:c r="AG147" s="30" t="str">
        <x:v>Brush Holder；Carbon Brush Support；Uncured Rubber Goods；Raw Rubber Items；Rubber Pre - forms</x:v>
      </x:c>
      <x:c r="AH147" s="30" t="str">
        <x:v>Rubber Compounds；Carbon Materials；化学添加剂；Fibers；Fillers</x:v>
      </x:c>
      <x:c r="AI147" s="30" t="str">
        <x:v>Mining Equipment；Electrical Motors；Generators；Industrial Machinery；Power Tools</x:v>
      </x:c>
      <x:c r="AJ147" s="30" t="str">
        <x:v>刷子</x:v>
      </x:c>
      <x:c r="AK147" s="30" t="str">
        <x:v>expansion-search-brush-page-08</x:v>
      </x:c>
      <x:c r="AL147" s="30" t="str">
        <x:v>UpKuajing customs company contact API</x:v>
      </x:c>
      <x:c r="AM147" s="30" t="str"/>
      <x:c r="AN147" s="30" t="str"/>
      <x:c r="AO147" s="34" t="n">
        <x:v>46220</x:v>
      </x:c>
    </x:row>
    <x:row r="148" ht="44" customHeight="1">
      <x:c r="A148" s="30" t="str">
        <x:v>API联系方式已获取</x:v>
      </x:c>
      <x:c r="B148" s="30" t="str">
        <x:v>常规-全球</x:v>
      </x:c>
      <x:c r="C148" s="30" t="str">
        <x:v>刷子</x:v>
      </x:c>
      <x:c r="D148" s="31" t="str">
        <x:v>20430846</x:v>
      </x:c>
      <x:c r="E148" s="30" t="str">
        <x:v>G R AGRO INDUSTRIES</x:v>
      </x:c>
      <x:c r="F148" s="30" t="str">
        <x:v>印度</x:v>
      </x:c>
      <x:c r="G148" s="30" t="str">
        <x:v>gragroindustries@yahoo.com</x:v>
      </x:c>
      <x:c r="H148" s="30" t="str">
        <x:f>IF(ISNUMBER(SEARCH(":1",AC148)),"已验证有效",IF(ISNUMBER(SEARCH(":3",AC148)),"验证不确定",IF(ISNUMBER(SEARCH(":0",AC148)),"接口未能检测",IF(ISNUMBER(SEARCH(":2",AC148)),"判定无效",IF(V148&lt;&gt;"","官网已确认-未验证","无邮箱")))))</x:f>
        <x:v>已验证有效</x:v>
      </x:c>
      <x:c r="I148" s="30" t="str">
        <x:v>13038930552</x:v>
      </x:c>
      <x:c r="J148" s="30" t="str">
        <x:v>www.gragro.com</x:v>
      </x:c>
      <x:c r="K148" s="35" t="n">
        <x:f>ROUND((IF(H148="已验证有效",40,IF(V148&lt;&gt;"",20,0))+IF(ISNUMBER(SEARCH("状态1",Y148)),25,0)+IF(J148&lt;&gt;"",20,0)+IF(AA148&lt;&gt;"",15,0))/100,2)</x:f>
        <x:v>0.6</x:v>
      </x:c>
      <x:c r="L148" s="30" t="str">
        <x:v>待联系</x:v>
      </x:c>
      <x:c r="M148" s="30" t="str"/>
      <x:c r="N148" s="30" t="str">
        <x:v>2 trivedi chamber maharani road near babadeep complex maharani road indore mp 452007</x:v>
      </x:c>
      <x:c r="O148" s="30" t="str"/>
      <x:c r="P148" s="30" t="str">
        <x:v>双面，吸嘴塑料，直型，公鸡，12，大夹子，宣传册，护腰，大芯，柱塞，纸箱，胸罩，水箱，巴拉特，重型皮带，自动机，塑料支架，钻头</x:v>
      </x:c>
      <x:c r="Q148" s="32" t="n">
        <x:v>81</x:v>
      </x:c>
      <x:c r="R148" s="32" t="n">
        <x:v>4970</x:v>
      </x:c>
      <x:c r="S148" s="33" t="n">
        <x:v>0.0163</x:v>
      </x:c>
      <x:c r="T148" s="34" t="n">
        <x:v>45857.666666666664</x:v>
      </x:c>
      <x:c r="U148" s="30" t="str">
        <x:v>gragroindustries@yahoo.com</x:v>
      </x:c>
      <x:c r="V148" s="30" t="str"/>
      <x:c r="W148" s="30" t="str">
        <x:v>13038930552</x:v>
      </x:c>
      <x:c r="X148" s="30" t="str"/>
      <x:c r="Y148" s="30" t="str">
        <x:v>13038930552:状态2/类型0/WhatsApp2</x:v>
      </x:c>
      <x:c r="Z148" s="30" t="str"/>
      <x:c r="AA148" s="30" t="str"/>
      <x:c r="AB148" s="30" t="str"/>
      <x:c r="AC148" s="30" t="str">
        <x:v>gragroindustries@yahoo.com:1</x:v>
      </x:c>
      <x:c r="AD148" s="30" t="str"/>
      <x:c r="AE148" s="30" t="str"/>
      <x:c r="AF148" s="30" t="str">
        <x:v>AGRICULTURAL BRUSH CUTTER SIDEPACK GX35 AGRICULTURAL BRUSH CUTTER SIDEPACK GX35</x:v>
      </x:c>
      <x:c r="AG148" s="30" t="str"/>
      <x:c r="AH148" s="30" t="str"/>
      <x:c r="AI148" s="30" t="str"/>
      <x:c r="AJ148" s="30" t="str">
        <x:v>刷子</x:v>
      </x:c>
      <x:c r="AK148" s="30" t="str">
        <x:v>expansion-search-brush-page-03; expansion-search-brush-page-04</x:v>
      </x:c>
      <x:c r="AL148" s="30" t="str">
        <x:v>UpKuajing customs company contact API</x:v>
      </x:c>
      <x:c r="AM148" s="30" t="str"/>
      <x:c r="AN148" s="30" t="str"/>
      <x:c r="AO148" s="34" t="n">
        <x:v>46220</x:v>
      </x:c>
    </x:row>
    <x:row r="149" ht="44" customHeight="1">
      <x:c r="A149" s="30" t="str">
        <x:v>API联系方式已获取</x:v>
      </x:c>
      <x:c r="B149" s="30" t="str">
        <x:v>常规-全球</x:v>
      </x:c>
      <x:c r="C149" s="30" t="str">
        <x:v>刷子</x:v>
      </x:c>
      <x:c r="D149" s="31" t="str">
        <x:v>20451475</x:v>
      </x:c>
      <x:c r="E149" s="30" t="str">
        <x:v>ORIFLAME PERU SA</x:v>
      </x:c>
      <x:c r="F149" s="30" t="str">
        <x:v>秘鲁</x:v>
      </x:c>
      <x:c r="G149" s="30" t="str">
        <x:v>pedidos@oriflame.com.pe</x:v>
      </x:c>
      <x:c r="H149" s="30" t="str">
        <x:f>IF(ISNUMBER(SEARCH(":1",AC149)),"已验证有效",IF(ISNUMBER(SEARCH(":3",AC149)),"验证不确定",IF(ISNUMBER(SEARCH(":0",AC149)),"接口未能检测",IF(ISNUMBER(SEARCH(":2",AC149)),"判定无效",IF(V149&lt;&gt;"","官网已确认-未验证","无邮箱")))))</x:f>
        <x:v>已验证有效</x:v>
      </x:c>
      <x:c r="I149" s="30" t="str">
        <x:v>515113190960</x:v>
      </x:c>
      <x:c r="J149" s="30" t="str">
        <x:v>www.oriflame.com.pe</x:v>
      </x:c>
      <x:c r="K149" s="35" t="n">
        <x:f>ROUND((IF(H149="已验证有效",40,IF(V149&lt;&gt;"",20,0))+IF(ISNUMBER(SEARCH("状态1",Y149)),25,0)+IF(J149&lt;&gt;"",20,0)+IF(AA149&lt;&gt;"",15,0))/100,2)</x:f>
        <x:v>0.75</x:v>
      </x:c>
      <x:c r="L149" s="30" t="str">
        <x:v>待联系</x:v>
      </x:c>
      <x:c r="M149" s="30" t="str"/>
      <x:c r="N149" s="30" t="str">
        <x:v>AVENIDA PASEO DE LA REPUBLICA 3151</x:v>
      </x:c>
      <x:c r="O149" s="30" t="str"/>
      <x:c r="P149" s="30" t="str">
        <x:v>生物和医疗产品、植物药物和草药，以及供内部和外部消费的安瓿、片剂、胶囊、小瓶、软膏、粉末、溶液和悬浮液等形式的药品；绷带、美容用品、古龙水、化妆品、牙膏、除臭剂、诊断试剂、急救用品、护发剂、香皂和盥洗用品</x:v>
      </x:c>
      <x:c r="Q149" s="32" t="n">
        <x:v>72</x:v>
      </x:c>
      <x:c r="R149" s="32" t="n">
        <x:v>66428</x:v>
      </x:c>
      <x:c r="S149" s="33" t="n">
        <x:v>0.0011</x:v>
      </x:c>
      <x:c r="T149" s="34" t="n">
        <x:v>46132.666666666664</x:v>
      </x:c>
      <x:c r="U149" s="30" t="str">
        <x:v>pedidos@oriflame.com.pe</x:v>
      </x:c>
      <x:c r="V149" s="30" t="str"/>
      <x:c r="W149" s="30" t="str">
        <x:v>515113190960</x:v>
      </x:c>
      <x:c r="X149" s="30" t="str"/>
      <x:c r="Y149" s="30" t="str">
        <x:v>515113190960:状态2/类型0/WhatsApp2</x:v>
      </x:c>
      <x:c r="Z149" s="30" t="str"/>
      <x:c r="AA149" s="30" t="str">
        <x:v>https://www.facebook.com/oriflameperu; https://www.instagram.com/pe.oriflame/; https://twitter.com/OriflamePer; https://www.youtube.com/Oriflamelatam</x:v>
      </x:c>
      <x:c r="AB149" s="30" t="str"/>
      <x:c r="AC149" s="30" t="str">
        <x:v>pedidos@oriflame.com.pe:1</x:v>
      </x:c>
      <x:c r="AD149" s="30" t="str"/>
      <x:c r="AE149" s="30" t="str"/>
      <x:c r="AF149" s="30" t="str">
        <x:v>BROW DEFINE DUO BRUSH, ORIFLAME, S/M</x:v>
      </x:c>
      <x:c r="AG149" s="30" t="str"/>
      <x:c r="AH149" s="30" t="str"/>
      <x:c r="AI149" s="30" t="str"/>
      <x:c r="AJ149" s="30" t="str">
        <x:v>刷子</x:v>
      </x:c>
      <x:c r="AK149" s="30" t="str">
        <x:v>expansion-search-brush-page-08</x:v>
      </x:c>
      <x:c r="AL149" s="30" t="str">
        <x:v>UpKuajing customs company contact API</x:v>
      </x:c>
      <x:c r="AM149" s="30" t="str"/>
      <x:c r="AN149" s="30" t="str"/>
      <x:c r="AO149" s="34" t="n">
        <x:v>46220</x:v>
      </x:c>
    </x:row>
    <x:row r="150" ht="44" customHeight="1">
      <x:c r="A150" s="30" t="str">
        <x:v>API联系方式已获取</x:v>
      </x:c>
      <x:c r="B150" s="30" t="str">
        <x:v>常规-全球</x:v>
      </x:c>
      <x:c r="C150" s="30" t="str">
        <x:v>刷子</x:v>
      </x:c>
      <x:c r="D150" s="31" t="str">
        <x:v>20431055</x:v>
      </x:c>
      <x:c r="E150" s="30" t="str">
        <x:v>ARTSANA INDIA PRIVATE LIMITED</x:v>
      </x:c>
      <x:c r="F150" s="30" t="str">
        <x:v>印度</x:v>
      </x:c>
      <x:c r="G150" s="30" t="str">
        <x:v>support@chicco.in</x:v>
      </x:c>
      <x:c r="H150" s="30" t="str">
        <x:f>IF(ISNUMBER(SEARCH(":1",AC150)),"已验证有效",IF(ISNUMBER(SEARCH(":3",AC150)),"验证不确定",IF(ISNUMBER(SEARCH(":0",AC150)),"接口未能检测",IF(ISNUMBER(SEARCH(":2",AC150)),"判定无效",IF(V150&lt;&gt;"","官网已确认-未验证","无邮箱")))))</x:f>
        <x:v>已验证有效</x:v>
      </x:c>
      <x:c r="I150" s="30" t="str">
        <x:v>+91 124 496 4500</x:v>
      </x:c>
      <x:c r="J150" s="30" t="str">
        <x:v>www.chicco.in</x:v>
      </x:c>
      <x:c r="K150" s="35" t="n">
        <x:f>ROUND((IF(H150="已验证有效",40,IF(V150&lt;&gt;"",20,0))+IF(ISNUMBER(SEARCH("状态1",Y150)),25,0)+IF(J150&lt;&gt;"",20,0)+IF(AA150&lt;&gt;"",15,0))/100,2)</x:f>
        <x:v>1</x:v>
      </x:c>
      <x:c r="L150" s="30" t="str">
        <x:v>待联系</x:v>
      </x:c>
      <x:c r="M150" s="30" t="str"/>
      <x:c r="N150" s="30" t="str">
        <x:v>SEVENTH FLOOR, PARAS TWIN TOWER , GOLF COURSE ROAD , SECTOR-54</x:v>
      </x:c>
      <x:c r="O150" s="30" t="str"/>
      <x:c r="P150" s="30" t="str">
        <x:v>暂无经营范围信息</x:v>
      </x:c>
      <x:c r="Q150" s="32" t="n">
        <x:v>66</x:v>
      </x:c>
      <x:c r="R150" s="32" t="n">
        <x:v>17053</x:v>
      </x:c>
      <x:c r="S150" s="33" t="n">
        <x:v>0.0039000000000000003</x:v>
      </x:c>
      <x:c r="T150" s="34" t="n">
        <x:v>45863.666666666664</x:v>
      </x:c>
      <x:c r="U150" s="30" t="str">
        <x:v>support@chicco.in</x:v>
      </x:c>
      <x:c r="V150" s="30" t="str"/>
      <x:c r="W150" s="30" t="str">
        <x:v>+91 124 496 4500; 18001026702</x:v>
      </x:c>
      <x:c r="X150" s="30" t="str"/>
      <x:c r="Y150" s="30" t="str">
        <x:v>+91 124 496 4500:状态1/类型1/WhatsApp2; 18001026702:状态2/类型0/WhatsApp2</x:v>
      </x:c>
      <x:c r="Z150" s="30" t="str"/>
      <x:c r="AA150" s="30" t="str">
        <x:v>https://www.facebook.com/chiccoindia; https://www.instagram.com/chicco.india</x:v>
      </x:c>
      <x:c r="AB150" s="30" t="str"/>
      <x:c r="AC150" s="30" t="str">
        <x:v>support@chicco.in:1</x:v>
      </x:c>
      <x:c r="AD150" s="30" t="str"/>
      <x:c r="AE150" s="30" t="str"/>
      <x:c r="AF150" s="30" t="str">
        <x:v>00069189200000 BOTTLE BRUSH (3 IN 1) (BRAND CHICCO) 00069189200000 BOTTLE BRUSH (3 IN 1) (BRAND CHICCO)</x:v>
      </x:c>
      <x:c r="AG150" s="30" t="str"/>
      <x:c r="AH150" s="30" t="str"/>
      <x:c r="AI150" s="30" t="str"/>
      <x:c r="AJ150" s="30" t="str">
        <x:v>刷子</x:v>
      </x:c>
      <x:c r="AK150" s="30" t="str">
        <x:v>expansion-search-brush-page-04</x:v>
      </x:c>
      <x:c r="AL150" s="30" t="str">
        <x:v>UpKuajing customs company contact API</x:v>
      </x:c>
      <x:c r="AM150" s="30" t="str"/>
      <x:c r="AN150" s="30" t="str"/>
      <x:c r="AO150" s="34" t="n">
        <x:v>46220</x:v>
      </x:c>
    </x:row>
    <x:row r="151" ht="44" customHeight="1">
      <x:c r="A151" s="30" t="str">
        <x:v>API联系方式已获取</x:v>
      </x:c>
      <x:c r="B151" s="30" t="str">
        <x:v>常规-全球</x:v>
      </x:c>
      <x:c r="C151" s="30" t="str">
        <x:v>刷子</x:v>
      </x:c>
      <x:c r="D151" s="31" t="str">
        <x:v>20424424</x:v>
      </x:c>
      <x:c r="E151" s="30" t="str">
        <x:v>CITY MALL S A</x:v>
      </x:c>
      <x:c r="F151" s="30" t="str">
        <x:v>巴拿马</x:v>
      </x:c>
      <x:c r="G151" s="30" t="str">
        <x:v>info@cblproperties.com</x:v>
      </x:c>
      <x:c r="H151" s="30" t="str">
        <x:f>IF(ISNUMBER(SEARCH(":1",AC151)),"已验证有效",IF(ISNUMBER(SEARCH(":3",AC151)),"验证不确定",IF(ISNUMBER(SEARCH(":0",AC151)),"接口未能检测",IF(ISNUMBER(SEARCH(":2",AC151)),"判定无效",IF(V151&lt;&gt;"","官网已确认-未验证","无邮箱")))))</x:f>
        <x:v>已验证有效</x:v>
      </x:c>
      <x:c r="I151" s="30" t="str"/>
      <x:c r="J151" s="30" t="str">
        <x:v>http://www.panamacity-mall.com</x:v>
      </x:c>
      <x:c r="K151" s="35" t="n">
        <x:f>ROUND((IF(H151="已验证有效",40,IF(V151&lt;&gt;"",20,0))+IF(ISNUMBER(SEARCH("状态1",Y151)),25,0)+IF(J151&lt;&gt;"",20,0)+IF(AA151&lt;&gt;"",15,0))/100,2)</x:f>
        <x:v>0.75</x:v>
      </x:c>
      <x:c r="L151" s="30" t="str">
        <x:v>待联系</x:v>
      </x:c>
      <x:c r="M151" s="30" t="str"/>
      <x:c r="N151" s="30" t="str">
        <x:v>2150 martin luther king jr. blvd.,panama city</x:v>
      </x:c>
      <x:c r="O151" s="30" t="str"/>
      <x:c r="P151" s="30" t="str">
        <x:v>化妆用品、棉毛巾、浴巾、8件</x:v>
      </x:c>
      <x:c r="Q151" s="32" t="n">
        <x:v>64</x:v>
      </x:c>
      <x:c r="R151" s="32" t="n">
        <x:v>89936</x:v>
      </x:c>
      <x:c r="S151" s="33" t="n">
        <x:v>0.0007000000000000001</x:v>
      </x:c>
      <x:c r="T151" s="34" t="n">
        <x:v>45847.666666666664</x:v>
      </x:c>
      <x:c r="U151" s="30" t="str">
        <x:v>info@cblproperties.com; kimwise@panamacity-mall.com</x:v>
      </x:c>
      <x:c r="V151" s="30" t="str"/>
      <x:c r="W151" s="30" t="str"/>
      <x:c r="X151" s="30" t="str"/>
      <x:c r="Y151" s="30" t="str"/>
      <x:c r="Z151" s="30" t="str"/>
      <x:c r="AA151" s="30" t="str">
        <x:v>https://www.facebook.com/PanamaCityMall</x:v>
      </x:c>
      <x:c r="AB151" s="30" t="str"/>
      <x:c r="AC151" s="30" t="str">
        <x:v>info@cblproperties.com:1; kimwise@panamacity-mall.com:1</x:v>
      </x:c>
      <x:c r="AD151" s="30" t="str">
        <x:v>刷子；Combs</x:v>
      </x:c>
      <x:c r="AE151" s="30" t="str">
        <x:v>刷子；Combs</x:v>
      </x:c>
      <x:c r="AF151" s="30" t="str">
        <x:v>CEPILLOS/ PEINILLAS</x:v>
      </x:c>
      <x:c r="AG151" s="30" t="str">
        <x:v>Hairbrush；Hair comb；Toothbrush；Body brush；Beard comb</x:v>
      </x:c>
      <x:c r="AH151" s="30" t="str">
        <x:v>塑料；Wood；Bristles；Nylon；金属</x:v>
      </x:c>
      <x:c r="AI151" s="30" t="str">
        <x:v>Beauty products；Personal care kits；Pet grooming；Household cleaning；Art supplies</x:v>
      </x:c>
      <x:c r="AJ151" s="30" t="str">
        <x:v>刷子</x:v>
      </x:c>
      <x:c r="AK151" s="30" t="str">
        <x:v>expansion-search-brush-page-02</x:v>
      </x:c>
      <x:c r="AL151" s="30" t="str">
        <x:v>UpKuajing customs company contact API</x:v>
      </x:c>
      <x:c r="AM151" s="30" t="str"/>
      <x:c r="AN151" s="30" t="str"/>
      <x:c r="AO151" s="34" t="n">
        <x:v>46220</x:v>
      </x:c>
    </x:row>
    <x:row r="152" ht="44" customHeight="1">
      <x:c r="A152" s="30" t="str">
        <x:v>API联系方式已获取</x:v>
      </x:c>
      <x:c r="B152" s="30" t="str">
        <x:v>常规-全球</x:v>
      </x:c>
      <x:c r="C152" s="30" t="str">
        <x:v>刷子</x:v>
      </x:c>
      <x:c r="D152" s="31" t="str">
        <x:v>20424340</x:v>
      </x:c>
      <x:c r="E152" s="30" t="str">
        <x:v>KHURRAM INTERNATIONAL</x:v>
      </x:c>
      <x:c r="F152" s="30" t="str">
        <x:v>巴基斯坦</x:v>
      </x:c>
      <x:c r="G152" s="30" t="str">
        <x:v>sales@khurraminternational.com</x:v>
      </x:c>
      <x:c r="H152" s="30" t="str">
        <x:f>IF(ISNUMBER(SEARCH(":1",AC152)),"已验证有效",IF(ISNUMBER(SEARCH(":3",AC152)),"验证不确定",IF(ISNUMBER(SEARCH(":0",AC152)),"接口未能检测",IF(ISNUMBER(SEARCH(":2",AC152)),"判定无效",IF(V152&lt;&gt;"","官网已确认-未验证","无邮箱")))))</x:f>
        <x:v>已验证有效</x:v>
      </x:c>
      <x:c r="I152" s="30" t="str">
        <x:v>+92 21 32725492</x:v>
      </x:c>
      <x:c r="J152" s="30" t="str">
        <x:v>www.khurraminternational.com</x:v>
      </x:c>
      <x:c r="K152" s="35" t="n">
        <x:f>ROUND((IF(H152="已验证有效",40,IF(V152&lt;&gt;"",20,0))+IF(ISNUMBER(SEARCH("状态1",Y152)),25,0)+IF(J152&lt;&gt;"",20,0)+IF(AA152&lt;&gt;"",15,0))/100,2)</x:f>
        <x:v>0.85</x:v>
      </x:c>
      <x:c r="L152" s="30" t="str">
        <x:v>待联系</x:v>
      </x:c>
      <x:c r="M152" s="30" t="str"/>
      <x:c r="N152" s="30" t="str">
        <x:v>46 – manzoor square, plaza square, noman street, karachi, pakistan</x:v>
      </x:c>
      <x:c r="O152" s="30" t="str"/>
      <x:c r="P152" s="30" t="str">
        <x:v>外套，5，凸轮轴，数指计数器，发光二极管灯泡11，棉签，桌子，99，刹车蹄，化妆，活塞，钢钉，电动剃须刀，电镀，剃须刀，唇彩，塑料，钢锅，胸罩</x:v>
      </x:c>
      <x:c r="Q152" s="32" t="n">
        <x:v>59</x:v>
      </x:c>
      <x:c r="R152" s="32" t="n">
        <x:v>3933</x:v>
      </x:c>
      <x:c r="S152" s="33" t="n">
        <x:v>0.015</x:v>
      </x:c>
      <x:c r="T152" s="34" t="n">
        <x:v>45741.666666666664</x:v>
      </x:c>
      <x:c r="U152" s="30" t="str">
        <x:v>sales@khurraminternational.com</x:v>
      </x:c>
      <x:c r="V152" s="30" t="str"/>
      <x:c r="W152" s="30" t="str">
        <x:v>+92 21 32725492</x:v>
      </x:c>
      <x:c r="X152" s="30" t="str"/>
      <x:c r="Y152" s="30" t="str">
        <x:v>+92 21 32725492:状态1/类型1/WhatsApp2</x:v>
      </x:c>
      <x:c r="Z152" s="30" t="str"/>
      <x:c r="AA152" s="30" t="str"/>
      <x:c r="AB152" s="30" t="str"/>
      <x:c r="AC152" s="30" t="str">
        <x:v>sales@khurraminternational.com:1</x:v>
      </x:c>
      <x:c r="AD152" s="30" t="str">
        <x:v>刷子</x:v>
      </x:c>
      <x:c r="AE152" s="30" t="str">
        <x:v>刷子</x:v>
      </x:c>
      <x:c r="AF152" s="30" t="str">
        <x:v>BRUSH</x:v>
      </x:c>
      <x:c r="AG152" s="30" t="str">
        <x:v>Broom；Scrubber；Duster；Sweeper；Polisher</x:v>
      </x:c>
      <x:c r="AH152" s="30" t="str">
        <x:v>塑料；Wood；金属；Bristles；Fiber</x:v>
      </x:c>
      <x:c r="AI152" s="30" t="str">
        <x:v>Home cleaning；Automotive cleaning；Industrial cleaning；Art supplies；Cosmetics</x:v>
      </x:c>
      <x:c r="AJ152" s="30" t="str">
        <x:v>刷子</x:v>
      </x:c>
      <x:c r="AK152" s="30" t="str">
        <x:v>expansion-search-brush-page-02</x:v>
      </x:c>
      <x:c r="AL152" s="30" t="str">
        <x:v>UpKuajing customs company contact API</x:v>
      </x:c>
      <x:c r="AM152" s="30" t="str"/>
      <x:c r="AN152" s="30" t="str"/>
      <x:c r="AO152" s="34" t="n">
        <x:v>46220</x:v>
      </x:c>
    </x:row>
    <x:row r="153" ht="44" customHeight="1">
      <x:c r="A153" s="30" t="str">
        <x:v>API联系方式已获取</x:v>
      </x:c>
      <x:c r="B153" s="30" t="str">
        <x:v>常规-全球</x:v>
      </x:c>
      <x:c r="C153" s="30" t="str">
        <x:v>油漆刷</x:v>
      </x:c>
      <x:c r="D153" s="31" t="str">
        <x:v>26313699</x:v>
      </x:c>
      <x:c r="E153" s="30" t="str">
        <x:v>IMPORTADORA Y MANUFACTURERA VON DER HEYDE S A C I</x:v>
      </x:c>
      <x:c r="F153" s="30" t="str">
        <x:v>智利</x:v>
      </x:c>
      <x:c r="G153" s="30" t="str">
        <x:v>contabilidad@hela.cl</x:v>
      </x:c>
      <x:c r="H153" s="30" t="str">
        <x:f>IF(ISNUMBER(SEARCH(":1",AC153)),"已验证有效",IF(ISNUMBER(SEARCH(":3",AC153)),"验证不确定",IF(ISNUMBER(SEARCH(":0",AC153)),"接口未能检测",IF(ISNUMBER(SEARCH(":2",AC153)),"判定无效",IF(V153&lt;&gt;"","官网已确认-未验证","无邮箱")))))</x:f>
        <x:v>已验证有效</x:v>
      </x:c>
      <x:c r="I153" s="30" t="str">
        <x:v>+56 32 235 2160</x:v>
      </x:c>
      <x:c r="J153" s="30" t="str">
        <x:v>www.hela.cl</x:v>
      </x:c>
      <x:c r="K153" s="35" t="n">
        <x:f>ROUND((IF(H153="已验证有效",40,IF(V153&lt;&gt;"",20,0))+IF(ISNUMBER(SEARCH("状态1",Y153)),25,0)+IF(J153&lt;&gt;"",20,0)+IF(AA153&lt;&gt;"",15,0))/100,2)</x:f>
        <x:v>1</x:v>
      </x:c>
      <x:c r="L153" s="30" t="str">
        <x:v>待联系</x:v>
      </x:c>
      <x:c r="M153" s="30" t="str"/>
      <x:c r="N153" s="30" t="str">
        <x:v>CALLE EL ESFUERZO 702 , QUILPUE</x:v>
      </x:c>
      <x:c r="O153" s="30" t="str"/>
      <x:c r="P153" s="30" t="str">
        <x:v>暂无经营范围信息</x:v>
      </x:c>
      <x:c r="Q153" s="32" t="n">
        <x:v>50</x:v>
      </x:c>
      <x:c r="R153" s="32" t="n">
        <x:v>1598</x:v>
      </x:c>
      <x:c r="S153" s="33" t="n">
        <x:v>0.0313</x:v>
      </x:c>
      <x:c r="T153" s="34" t="n">
        <x:v>45865.666666666664</x:v>
      </x:c>
      <x:c r="U153" s="30" t="str">
        <x:v>contabilidad@hela.cl</x:v>
      </x:c>
      <x:c r="V153" s="30" t="str"/>
      <x:c r="W153" s="30" t="str">
        <x:v>+56 32 235 2160</x:v>
      </x:c>
      <x:c r="X153" s="30" t="str"/>
      <x:c r="Y153" s="30" t="str">
        <x:v>+56 32 235 2160:状态1/类型3/WhatsApp2</x:v>
      </x:c>
      <x:c r="Z153" s="30" t="str"/>
      <x:c r="AA153" s="30" t="str">
        <x:v>https://www.facebook.com/HELA.S.A.C.I.CHILE; https://www.youtube.com/watch?v=Kce3rUc9G_k</x:v>
      </x:c>
      <x:c r="AB153" s="30" t="str"/>
      <x:c r="AC153" s="30" t="str">
        <x:v>contabilidad@hela.cl:1</x:v>
      </x:c>
      <x:c r="AD153" s="30" t="str">
        <x:v>Painting Roller；油漆刷；油漆刷</x:v>
      </x:c>
      <x:c r="AE153" s="30" t="str">
        <x:v>Painting Roller；油漆刷；油漆刷；Painting；Albanileria</x:v>
      </x:c>
      <x:c r="AF153" s="30" t="str">
        <x:v>RODILLOS PARA PINTARN.N.T.-F18 CM, (SET 10 PZA.)PARA ALBANILERIA BROCHAS Y PINCELES P.PINTAR,ENLUCIR,BARNIZAR O SIMILARES</x:v>
      </x:c>
      <x:c r="AG153" s="30" t="str">
        <x:v>Paint Roller；油漆刷；Coating Brush；Varnishing Brush；Decorating Brush</x:v>
      </x:c>
      <x:c r="AH153" s="30" t="str">
        <x:v>塑料；Wood；Fiber；金属；Paint</x:v>
      </x:c>
      <x:c r="AI153" s="30" t="str">
        <x:v>Wall Painting；Furniture Painting；Automobile Painting；Art Painting；工业涂装</x:v>
      </x:c>
      <x:c r="AJ153" s="30" t="str">
        <x:v>油漆刷</x:v>
      </x:c>
      <x:c r="AK153" s="30" t="str">
        <x:v>expansion-search-paint-brush-page-01</x:v>
      </x:c>
      <x:c r="AL153" s="30" t="str">
        <x:v>UpKuajing customs company contact API</x:v>
      </x:c>
      <x:c r="AM153" s="30" t="str"/>
      <x:c r="AN153" s="30" t="str"/>
      <x:c r="AO153" s="34" t="n">
        <x:v>46220</x:v>
      </x:c>
    </x:row>
    <x:row r="154" ht="44" customHeight="1">
      <x:c r="A154" s="30" t="str">
        <x:v>API联系方式已获取</x:v>
      </x:c>
      <x:c r="B154" s="30" t="str">
        <x:v>常规-全球</x:v>
      </x:c>
      <x:c r="C154" s="30" t="str">
        <x:v>油漆刷</x:v>
      </x:c>
      <x:c r="D154" s="31" t="str">
        <x:v>20616554</x:v>
      </x:c>
      <x:c r="E154" s="30" t="str">
        <x:v>MEGA LINEAS SOCIEDAD ANONIMA</x:v>
      </x:c>
      <x:c r="F154" s="30" t="str">
        <x:v>哥斯达黎加</x:v>
      </x:c>
      <x:c r="G154" s="30" t="str">
        <x:v>ecommerce@megalineas.com</x:v>
      </x:c>
      <x:c r="H154" s="30" t="str">
        <x:f>IF(ISNUMBER(SEARCH(":1",AC154)),"已验证有效",IF(ISNUMBER(SEARCH(":3",AC154)),"验证不确定",IF(ISNUMBER(SEARCH(":0",AC154)),"接口未能检测",IF(ISNUMBER(SEARCH(":2",AC154)),"判定无效",IF(V154&lt;&gt;"","官网已确认-未验证","无邮箱")))))</x:f>
        <x:v>已验证有效</x:v>
      </x:c>
      <x:c r="I154" s="30" t="str">
        <x:v>+506 8406 9940</x:v>
      </x:c>
      <x:c r="J154" s="30" t="str">
        <x:v>www.megalineas.com</x:v>
      </x:c>
      <x:c r="K154" s="35" t="n">
        <x:f>ROUND((IF(H154="已验证有效",40,IF(V154&lt;&gt;"",20,0))+IF(ISNUMBER(SEARCH("状态1",Y154)),25,0)+IF(J154&lt;&gt;"",20,0)+IF(AA154&lt;&gt;"",15,0))/100,2)</x:f>
        <x:v>1</x:v>
      </x:c>
      <x:c r="L154" s="30" t="str">
        <x:v>待联系</x:v>
      </x:c>
      <x:c r="M154" s="30" t="str"/>
      <x:c r="N154" s="30" t="str">
        <x:v>SAN JUAN DE ELECTRO NORTE 175 METROS NORTE</x:v>
      </x:c>
      <x:c r="O154" s="30" t="str"/>
      <x:c r="P154" s="30" t="str">
        <x:v>暂无经营范围信息</x:v>
      </x:c>
      <x:c r="Q154" s="32" t="n">
        <x:v>45</x:v>
      </x:c>
      <x:c r="R154" s="32" t="n">
        <x:v>26791</x:v>
      </x:c>
      <x:c r="S154" s="33" t="n">
        <x:v>0.0017000000000000001</x:v>
      </x:c>
      <x:c r="T154" s="34" t="n">
        <x:v>45628.666666666664</x:v>
      </x:c>
      <x:c r="U154" s="30" t="str">
        <x:v>ecommerce@megalineas.com</x:v>
      </x:c>
      <x:c r="V154" s="30" t="str"/>
      <x:c r="W154" s="30" t="str">
        <x:v>+506 8406 9940</x:v>
      </x:c>
      <x:c r="X154" s="30" t="str"/>
      <x:c r="Y154" s="30" t="str">
        <x:v>+506 8406 9940:状态1/类型2/WhatsApp2</x:v>
      </x:c>
      <x:c r="Z154" s="30" t="str"/>
      <x:c r="AA154" s="30" t="str">
        <x:v>https://www.facebook.com/MegalineasCR; https://www.instagram.com/megalineascr; https://www.youtube.com/channel/UCFc9-e96QbNHWif_K24OuqA</x:v>
      </x:c>
      <x:c r="AB154" s="30" t="str"/>
      <x:c r="AC154" s="30" t="str">
        <x:v>ecommerce@megalineas.com:1</x:v>
      </x:c>
      <x:c r="AD154" s="30" t="str">
        <x:v>油漆刷</x:v>
      </x:c>
      <x:c r="AE154" s="30" t="str">
        <x:v>油漆刷；Hardware；Targo Tools</x:v>
      </x:c>
      <x:c r="AF154" s="30" t="str">
        <x:v>BROCHA PARA PINTAR - ARTs. de FERRETERIA - MARCA TARGO TOOLS MODELO P2500-30W</x:v>
      </x:c>
      <x:c r="AG154" s="30" t="str">
        <x:v>油漆刷；油漆刷；Artist Brush；Decorative Brush；Household Brush</x:v>
      </x:c>
      <x:c r="AH154" s="30" t="str">
        <x:v>Bristles；Wood；塑料；金属；Glue</x:v>
      </x:c>
      <x:c r="AI154" s="30" t="str">
        <x:v>Wall Painting；Furniture Painting；Artwork Creation；汽车涂装；Craft Projects</x:v>
      </x:c>
      <x:c r="AJ154" s="30" t="str">
        <x:v>油漆刷</x:v>
      </x:c>
      <x:c r="AK154" s="30" t="str">
        <x:v>expansion-search-paint-brush-page-01</x:v>
      </x:c>
      <x:c r="AL154" s="30" t="str">
        <x:v>UpKuajing customs company contact API</x:v>
      </x:c>
      <x:c r="AM154" s="30" t="str"/>
      <x:c r="AN154" s="30" t="str"/>
      <x:c r="AO154" s="34" t="n">
        <x:v>46220</x:v>
      </x:c>
    </x:row>
    <x:row r="155" ht="44" customHeight="1">
      <x:c r="A155" s="30" t="str">
        <x:v>API联系方式已获取</x:v>
      </x:c>
      <x:c r="B155" s="30" t="str">
        <x:v>常规-全球</x:v>
      </x:c>
      <x:c r="C155" s="30" t="str">
        <x:v>刷子</x:v>
      </x:c>
      <x:c r="D155" s="31" t="str">
        <x:v>20430971</x:v>
      </x:c>
      <x:c r="E155" s="30" t="str">
        <x:v>JUNGHEINRICH LIFT TRUCK INDIA PRIVATE LIMITED</x:v>
      </x:c>
      <x:c r="F155" s="30" t="str">
        <x:v>印度</x:v>
      </x:c>
      <x:c r="G155" s="30" t="str">
        <x:v>radhika.baliga@jungheinrich.in</x:v>
      </x:c>
      <x:c r="H155" s="30" t="str">
        <x:f>IF(ISNUMBER(SEARCH(":1",AC155)),"已验证有效",IF(ISNUMBER(SEARCH(":3",AC155)),"验证不确定",IF(ISNUMBER(SEARCH(":0",AC155)),"接口未能检测",IF(ISNUMBER(SEARCH(":2",AC155)),"判定无效",IF(V155&lt;&gt;"","官网已确认-未验证","无邮箱")))))</x:f>
        <x:v>已验证有效</x:v>
      </x:c>
      <x:c r="I155" s="30" t="str">
        <x:v>+91 22 2572 7900</x:v>
      </x:c>
      <x:c r="J155" s="30" t="str">
        <x:v>jungheinrich.in</x:v>
      </x:c>
      <x:c r="K155" s="35" t="n">
        <x:f>ROUND((IF(H155="已验证有效",40,IF(V155&lt;&gt;"",20,0))+IF(ISNUMBER(SEARCH("状态1",Y155)),25,0)+IF(J155&lt;&gt;"",20,0)+IF(AA155&lt;&gt;"",15,0))/100,2)</x:f>
        <x:v>1</x:v>
      </x:c>
      <x:c r="L155" s="30" t="str">
        <x:v>待联系</x:v>
      </x:c>
      <x:c r="M155" s="30" t="str"/>
      <x:c r="N155" s="30" t="str">
        <x:v>FLAT NO. 203 &amp; 204 , 2ND FLOOR , A-WING, DELPHI BLDG CENTRAL AVENUE, HIRANANDANI BUSINESS PARK,POWAI MUMBAI</x:v>
      </x:c>
      <x:c r="O155" s="30" t="str"/>
      <x:c r="P155" s="30" t="str">
        <x:v>暂无经营范围信息</x:v>
      </x:c>
      <x:c r="Q155" s="32" t="n">
        <x:v>41</x:v>
      </x:c>
      <x:c r="R155" s="32" t="n">
        <x:v>45721</x:v>
      </x:c>
      <x:c r="S155" s="33" t="n">
        <x:v>0.0009</x:v>
      </x:c>
      <x:c r="T155" s="34" t="n">
        <x:v>45866.666666666664</x:v>
      </x:c>
      <x:c r="U155" s="30" t="str">
        <x:v>radhika.baliga@jungheinrich.in</x:v>
      </x:c>
      <x:c r="V155" s="30" t="str"/>
      <x:c r="W155" s="30" t="str">
        <x:v>02225727900; +91 22 2572 7900</x:v>
      </x:c>
      <x:c r="X155" s="30" t="str"/>
      <x:c r="Y155" s="30" t="str">
        <x:v>02225727900:状态2/类型0/WhatsApp0; +91 22 2572 7900:状态1/类型1/WhatsApp2</x:v>
      </x:c>
      <x:c r="Z155" s="30" t="str"/>
      <x:c r="AA155" s="30" t="str">
        <x:v>https://www.facebook.com/Jungheinrich; https://www.instagram.com/jungheinrich_india; https://www.linkedin.com/company/13617540/admin; https://www.youtube.com/channel/UCbLyz_vUPRPxonS8enDfqVg</x:v>
      </x:c>
      <x:c r="AB155" s="30" t="str"/>
      <x:c r="AC155" s="30" t="str">
        <x:v>radhika.baliga@jungheinrich.in:1</x:v>
      </x:c>
      <x:c r="AD155" s="30" t="str">
        <x:v>Brush Rocker</x:v>
      </x:c>
      <x:c r="AE155" s="30" t="str">
        <x:v>brush rocker；spare parts；forklifts</x:v>
      </x:c>
      <x:c r="AF155" s="30" t="str">
        <x:v>28718060AT BRUSH ROCKER (SPARE PARTS FOR FORKLIFTS) 28718060AT BRUSH ROCKER (SPARE PARTS FOR FORKLIFTS)</x:v>
      </x:c>
      <x:c r="AG155" s="30" t="str">
        <x:v>Rocker Brush；Forklift Brush Rocker；Brush Rocker Assembly；Rocker for Forklift Brush；Forklift Spare Brush Rocker</x:v>
      </x:c>
      <x:c r="AH155" s="30" t="str">
        <x:v>金属；塑料；Copper；Insulating Material；刷子</x:v>
      </x:c>
      <x:c r="AI155" s="30" t="str">
        <x:v>Forklift；Warehouse Equipment；Industrial Vehicle；Lifting Equipment；Material Handling Machine</x:v>
      </x:c>
      <x:c r="AJ155" s="30" t="str">
        <x:v>刷子</x:v>
      </x:c>
      <x:c r="AK155" s="30" t="str">
        <x:v>expansion-search-brush-page-04</x:v>
      </x:c>
      <x:c r="AL155" s="30" t="str">
        <x:v>UpKuajing customs company contact API</x:v>
      </x:c>
      <x:c r="AM155" s="30" t="str"/>
      <x:c r="AN155" s="30" t="str"/>
      <x:c r="AO155" s="34" t="n">
        <x:v>46220</x:v>
      </x:c>
    </x:row>
    <x:row r="156" ht="44" customHeight="1">
      <x:c r="A156" s="30" t="str">
        <x:v>API联系方式已获取</x:v>
      </x:c>
      <x:c r="B156" s="30" t="str">
        <x:v>常规-全球</x:v>
      </x:c>
      <x:c r="C156" s="30" t="str">
        <x:v>油漆刷</x:v>
      </x:c>
      <x:c r="D156" s="31" t="str">
        <x:v>28452129</x:v>
      </x:c>
      <x:c r="E156" s="30" t="str">
        <x:v>ABOLU S A</x:v>
      </x:c>
      <x:c r="F156" s="30" t="str">
        <x:v>巴拿马</x:v>
      </x:c>
      <x:c r="G156" s="30" t="str">
        <x:v>servicioalcliente@abolu.net</x:v>
      </x:c>
      <x:c r="H156" s="30" t="str">
        <x:f>IF(ISNUMBER(SEARCH(":1",AC156)),"已验证有效",IF(ISNUMBER(SEARCH(":3",AC156)),"验证不确定",IF(ISNUMBER(SEARCH(":0",AC156)),"接口未能检测",IF(ISNUMBER(SEARCH(":2",AC156)),"判定无效",IF(V156&lt;&gt;"","官网已确认-未验证","无邮箱")))))</x:f>
        <x:v>已验证有效</x:v>
      </x:c>
      <x:c r="I156" s="30" t="str"/>
      <x:c r="J156" s="30" t="str">
        <x:v>http://abolu.net/</x:v>
      </x:c>
      <x:c r="K156" s="35" t="n">
        <x:f>ROUND((IF(H156="已验证有效",40,IF(V156&lt;&gt;"",20,0))+IF(ISNUMBER(SEARCH("状态1",Y156)),25,0)+IF(J156&lt;&gt;"",20,0)+IF(AA156&lt;&gt;"",15,0))/100,2)</x:f>
        <x:v>0.75</x:v>
      </x:c>
      <x:c r="L156" s="30" t="str">
        <x:v>待联系</x:v>
      </x:c>
      <x:c r="M156" s="30" t="str"/>
      <x:c r="N156" s="30" t="str">
        <x:v>cl 2 llano bonito, panamá | panamá, panamá, panama</x:v>
      </x:c>
      <x:c r="O156" s="30" t="str"/>
      <x:c r="P156" s="30" t="str">
        <x:v>暂无经营范围信息</x:v>
      </x:c>
      <x:c r="Q156" s="32" t="n">
        <x:v>31</x:v>
      </x:c>
      <x:c r="R156" s="32" t="n">
        <x:v>57373</x:v>
      </x:c>
      <x:c r="S156" s="33" t="n">
        <x:v>0.0005</x:v>
      </x:c>
      <x:c r="T156" s="34" t="n">
        <x:v>45861.666666666664</x:v>
      </x:c>
      <x:c r="U156" s="30" t="str">
        <x:v>servicioalcliente@abolu.net; ventas05@abolu.net</x:v>
      </x:c>
      <x:c r="V156" s="30" t="str"/>
      <x:c r="W156" s="30" t="str"/>
      <x:c r="X156" s="30" t="str"/>
      <x:c r="Y156" s="30" t="str"/>
      <x:c r="Z156" s="30" t="str"/>
      <x:c r="AA156" s="30" t="str">
        <x:v>https://www.facebook.com/abolu.panama; https://www.instagram.com/abolupanama</x:v>
      </x:c>
      <x:c r="AB156" s="30" t="str"/>
      <x:c r="AC156" s="30" t="str">
        <x:v>servicioalcliente@abolu.net:1; ventas05@abolu.net:0</x:v>
      </x:c>
      <x:c r="AD156" s="30" t="str">
        <x:v>油漆刷</x:v>
      </x:c>
      <x:c r="AE156" s="30" t="str">
        <x:v>Paint；刷子</x:v>
      </x:c>
      <x:c r="AF156" s="30" t="str">
        <x:v>BROCHAS P/ PINTAR</x:v>
      </x:c>
      <x:c r="AG156" s="30" t="str">
        <x:v>油漆刷；油漆刷；Artist Brush；Decorative Brush；Household Brush</x:v>
      </x:c>
      <x:c r="AH156" s="30" t="str">
        <x:v>Wood；塑料；Bristle；Fiber；金属</x:v>
      </x:c>
      <x:c r="AI156" s="30" t="str">
        <x:v>Wall Painting；Furniture Painting；Automobile Painting；Artwork Creation；Craft Projects</x:v>
      </x:c>
      <x:c r="AJ156" s="30" t="str">
        <x:v>油漆刷</x:v>
      </x:c>
      <x:c r="AK156" s="30" t="str">
        <x:v>expansion-search-paint-brush-page-01</x:v>
      </x:c>
      <x:c r="AL156" s="30" t="str">
        <x:v>UpKuajing customs company contact API</x:v>
      </x:c>
      <x:c r="AM156" s="30" t="str"/>
      <x:c r="AN156" s="30" t="str"/>
      <x:c r="AO156" s="34" t="n">
        <x:v>46220</x:v>
      </x:c>
    </x:row>
    <x:row r="157" ht="44" customHeight="1">
      <x:c r="A157" s="30" t="str">
        <x:v>API联系方式已获取</x:v>
      </x:c>
      <x:c r="B157" s="30" t="str">
        <x:v>常规-全球</x:v>
      </x:c>
      <x:c r="C157" s="30" t="str">
        <x:v>油漆刷</x:v>
      </x:c>
      <x:c r="D157" s="31" t="str">
        <x:v>61507020</x:v>
      </x:c>
      <x:c r="E157" s="30" t="str">
        <x:v>COMERCIAL KYWI S A</x:v>
      </x:c>
      <x:c r="F157" s="30" t="str">
        <x:v>厄瓜多尔</x:v>
      </x:c>
      <x:c r="G157" s="30" t="str">
        <x:v>megakywi@kywi.com.ec</x:v>
      </x:c>
      <x:c r="H157" s="30" t="str">
        <x:f>IF(ISNUMBER(SEARCH(":1",AC157)),"已验证有效",IF(ISNUMBER(SEARCH(":3",AC157)),"验证不确定",IF(ISNUMBER(SEARCH(":0",AC157)),"接口未能检测",IF(ISNUMBER(SEARCH(":2",AC157)),"判定无效",IF(V157&lt;&gt;"","官网已确认-未验证","无邮箱")))))</x:f>
        <x:v>已验证有效</x:v>
      </x:c>
      <x:c r="I157" s="30" t="str"/>
      <x:c r="J157" s="30" t="str">
        <x:v>http://www.kywi.com.ec/</x:v>
      </x:c>
      <x:c r="K157" s="35" t="n">
        <x:f>ROUND((IF(H157="已验证有效",40,IF(V157&lt;&gt;"",20,0))+IF(ISNUMBER(SEARCH("状态1",Y157)),25,0)+IF(J157&lt;&gt;"",20,0)+IF(AA157&lt;&gt;"",15,0))/100,2)</x:f>
        <x:v>0.75</x:v>
      </x:c>
      <x:c r="L157" s="30" t="str">
        <x:v>待联系</x:v>
      </x:c>
      <x:c r="M157" s="30" t="str"/>
      <x:c r="N157" s="30" t="str">
        <x:v>av. eloy alfaro y avigiras</x:v>
      </x:c>
      <x:c r="O157" s="30" t="str"/>
      <x:c r="P157" s="30" t="str">
        <x:v>卷，地板，垫子，防滑垫子，防滑，采购订单，家居用品，船上免费，封面</x:v>
      </x:c>
      <x:c r="Q157" s="32" t="n">
        <x:v>30</x:v>
      </x:c>
      <x:c r="R157" s="32" t="n">
        <x:v>89916</x:v>
      </x:c>
      <x:c r="S157" s="33" t="n">
        <x:v>0.0003</x:v>
      </x:c>
      <x:c r="T157" s="34" t="n">
        <x:v>45616.666666666664</x:v>
      </x:c>
      <x:c r="U157" s="30" t="str">
        <x:v>megakywi@kywi.com.ec; webcontact@kywi.com</x:v>
      </x:c>
      <x:c r="V157" s="30" t="str"/>
      <x:c r="W157" s="30" t="str"/>
      <x:c r="X157" s="30" t="str"/>
      <x:c r="Y157" s="30" t="str"/>
      <x:c r="Z157" s="30" t="str"/>
      <x:c r="AA157" s="30" t="str">
        <x:v>https://www.facebook.com/kywi.megakywi; https://www.instagram.com/kywiymegakywi; https://www.youtube.com/channel/UCkptopkvoGb1uSj3DEMWlGg</x:v>
      </x:c>
      <x:c r="AB157" s="30" t="str"/>
      <x:c r="AC157" s="30" t="str">
        <x:v>megakywi@kywi.com.ec:1; webcontact@kywi.com:1</x:v>
      </x:c>
      <x:c r="AD157" s="30" t="str">
        <x:v>油漆刷</x:v>
      </x:c>
      <x:c r="AE157" s="30" t="str">
        <x:v>油漆刷</x:v>
      </x:c>
      <x:c r="AF157" s="30" t="str">
        <x:v>BROCHA PARA PINTAR DE 5</x:v>
      </x:c>
      <x:c r="AG157" s="30" t="str">
        <x:v>油漆刷；油漆刷；Artist brush；Decorative brush；Household brush</x:v>
      </x:c>
      <x:c r="AH157" s="30" t="str">
        <x:v>Wood；Bristle；Fiber；塑料；金属</x:v>
      </x:c>
      <x:c r="AI157" s="30" t="str">
        <x:v>Wall painting；Furniture painting；Artwork creation；Automobile painting；Craft projects</x:v>
      </x:c>
      <x:c r="AJ157" s="30" t="str">
        <x:v>油漆刷</x:v>
      </x:c>
      <x:c r="AK157" s="30" t="str">
        <x:v>expansion-search-paint-brush-page-01</x:v>
      </x:c>
      <x:c r="AL157" s="30" t="str">
        <x:v>UpKuajing customs company contact API</x:v>
      </x:c>
      <x:c r="AM157" s="30" t="str"/>
      <x:c r="AN157" s="30" t="str"/>
      <x:c r="AO157" s="34" t="n">
        <x:v>46220</x:v>
      </x:c>
    </x:row>
    <x:row r="158" ht="44" customHeight="1">
      <x:c r="A158" s="30" t="str">
        <x:v>API联系方式已获取</x:v>
      </x:c>
      <x:c r="B158" s="30" t="str">
        <x:v>常规-全球</x:v>
      </x:c>
      <x:c r="C158" s="30" t="str">
        <x:v>油漆刷</x:v>
      </x:c>
      <x:c r="D158" s="31" t="str">
        <x:v>20205479</x:v>
      </x:c>
      <x:c r="E158" s="30" t="str">
        <x:v>CROMWELL INDUSTRIAL SUPPLIES PRIVATE LIMITED</x:v>
      </x:c>
      <x:c r="F158" s="30" t="str">
        <x:v>印度</x:v>
      </x:c>
      <x:c r="G158" s="30" t="str">
        <x:v>sandeepb@cromwell.co.uk</x:v>
      </x:c>
      <x:c r="H158" s="30" t="str">
        <x:f>IF(ISNUMBER(SEARCH(":1",AC158)),"已验证有效",IF(ISNUMBER(SEARCH(":3",AC158)),"验证不确定",IF(ISNUMBER(SEARCH(":0",AC158)),"接口未能检测",IF(ISNUMBER(SEARCH(":2",AC158)),"判定无效",IF(V158&lt;&gt;"","官网已确认-未验证","无邮箱")))))</x:f>
        <x:v>已验证有效</x:v>
      </x:c>
      <x:c r="I158" s="30" t="str">
        <x:v>+91 76206 01221</x:v>
      </x:c>
      <x:c r="J158" s="30" t="str">
        <x:v>www.cromwell.co.uk</x:v>
      </x:c>
      <x:c r="K158" s="35" t="n">
        <x:f>ROUND((IF(H158="已验证有效",40,IF(V158&lt;&gt;"",20,0))+IF(ISNUMBER(SEARCH("状态1",Y158)),25,0)+IF(J158&lt;&gt;"",20,0)+IF(AA158&lt;&gt;"",15,0))/100,2)</x:f>
        <x:v>1</x:v>
      </x:c>
      <x:c r="L158" s="30" t="str">
        <x:v>待联系</x:v>
      </x:c>
      <x:c r="M158" s="30" t="str"/>
      <x:c r="N158" s="30" t="str">
        <x:v>NO. AB 1 TO AB 7, RAJLAXMI COMMERCIAL COMPLEX , THANE BHIWANDI ROAD , KALHER, TALUKA BHIWANDI</x:v>
      </x:c>
      <x:c r="O158" s="30" t="str"/>
      <x:c r="P158" s="30" t="str">
        <x:v>暂无经营范围信息</x:v>
      </x:c>
      <x:c r="Q158" s="32" t="n">
        <x:v>29</x:v>
      </x:c>
      <x:c r="R158" s="32" t="n">
        <x:v>62830</x:v>
      </x:c>
      <x:c r="S158" s="33" t="n">
        <x:v>0.0005</x:v>
      </x:c>
      <x:c r="T158" s="34" t="n">
        <x:v>45862.666666666664</x:v>
      </x:c>
      <x:c r="U158" s="30" t="str">
        <x:v>sandeepb@cromwell.co.uk</x:v>
      </x:c>
      <x:c r="V158" s="30" t="str"/>
      <x:c r="W158" s="30" t="str">
        <x:v>+91 76206 01221</x:v>
      </x:c>
      <x:c r="X158" s="30" t="str"/>
      <x:c r="Y158" s="30" t="str">
        <x:v>+91 76206 01221:状态1/类型3/WhatsApp1</x:v>
      </x:c>
      <x:c r="Z158" s="30" t="str">
        <x:v>+91 76206 01221</x:v>
      </x:c>
      <x:c r="AA158" s="30" t="str">
        <x:v>https://www.facebook.com/CromwellHQ; https://www.linkedin.com/company/cromwell-group-holdings-ltd; https://twitter.com/Cromwell_HQ; https://www.youtube.com/channel/UCpvmkksUThGQfh1qwGZY5Aw</x:v>
      </x:c>
      <x:c r="AB158" s="30" t="str"/>
      <x:c r="AC158" s="30" t="str">
        <x:v>sandeepb@cromwell.co.uk:1</x:v>
      </x:c>
      <x:c r="AD158" s="30" t="str">
        <x:v>油漆刷</x:v>
      </x:c>
      <x:c r="AE158" s="30" t="str">
        <x:v>油漆刷；Wooden；工业用途</x:v>
      </x:c>
      <x:c r="AF158" s="30" t="str">
        <x:v>KEN9070270K - PAINT BRUSH WOODEN HANDLED 1.1/2"WIDE -  (FORINDUSTRIAL USE) (CN)KEN9070270K - PAINT BRUSH WOODEN HANDLED 1.1/2"WIDE -  (FOR</x:v>
      </x:c>
      <x:c r="AG158" s="30" t="str">
        <x:v>油漆刷；Industrial Brush；Wooden Brush；Paint Applicator；Brush for Painting</x:v>
      </x:c>
      <x:c r="AH158" s="30" t="str">
        <x:v>Wood；Bristles；Paint；Brush Handle；Brush Head</x:v>
      </x:c>
      <x:c r="AI158" s="30" t="str">
        <x:v>Industrial Painting Projects；汽车涂装；Furniture Painting；Wall Painting；Metal Painting</x:v>
      </x:c>
      <x:c r="AJ158" s="30" t="str">
        <x:v>油漆刷</x:v>
      </x:c>
      <x:c r="AK158" s="30" t="str">
        <x:v>expansion-search-paint-brush-page-01</x:v>
      </x:c>
      <x:c r="AL158" s="30" t="str">
        <x:v>UpKuajing customs company contact API</x:v>
      </x:c>
      <x:c r="AM158" s="30" t="str"/>
      <x:c r="AN158" s="30" t="str"/>
      <x:c r="AO158" s="34" t="n">
        <x:v>46220</x:v>
      </x:c>
    </x:row>
    <x:row r="159" ht="44" customHeight="1">
      <x:c r="A159" s="30" t="str">
        <x:v>API联系方式已获取</x:v>
      </x:c>
      <x:c r="B159" s="30" t="str">
        <x:v>常规-全球</x:v>
      </x:c>
      <x:c r="C159" s="30" t="str">
        <x:v>遮蔽膜</x:v>
      </x:c>
      <x:c r="D159" s="31" t="str">
        <x:v>28739610</x:v>
      </x:c>
      <x:c r="E159" s="30" t="str">
        <x:v>SARASWATI PLASTOTECH INDIA PRIVATE LIMITED</x:v>
      </x:c>
      <x:c r="F159" s="30" t="str">
        <x:v>印度</x:v>
      </x:c>
      <x:c r="G159" s="30" t="str">
        <x:v>cs@saraswatigroupdb.com</x:v>
      </x:c>
      <x:c r="H159" s="30" t="str">
        <x:f>IF(ISNUMBER(SEARCH(":1",AC159)),"已验证有效",IF(ISNUMBER(SEARCH(":3",AC159)),"验证不确定",IF(ISNUMBER(SEARCH(":0",AC159)),"接口未能检测",IF(ISNUMBER(SEARCH(":2",AC159)),"判定无效",IF(V159&lt;&gt;"","官网已确认-未验证","无邮箱")))))</x:f>
        <x:v>已验证有效</x:v>
      </x:c>
      <x:c r="I159" s="30" t="str">
        <x:v>+91 1923 222 814</x:v>
      </x:c>
      <x:c r="J159" s="30" t="str">
        <x:v>www.saraswati-group.com</x:v>
      </x:c>
      <x:c r="K159" s="35" t="n">
        <x:f>ROUND((IF(H159="已验证有效",40,IF(V159&lt;&gt;"",20,0))+IF(ISNUMBER(SEARCH("状态1",Y159)),25,0)+IF(J159&lt;&gt;"",20,0)+IF(AA159&lt;&gt;"",15,0))/100,2)</x:f>
        <x:v>0.85</x:v>
      </x:c>
      <x:c r="L159" s="30" t="str">
        <x:v>待联系</x:v>
      </x:c>
      <x:c r="M159" s="30" t="str"/>
      <x:c r="N159" s="30" t="str">
        <x:v>LANE 4, PHASE 1 , SIDCO INDUSTRIAL COMPLEX</x:v>
      </x:c>
      <x:c r="O159" s="30" t="str"/>
      <x:c r="P159" s="30" t="str">
        <x:v>塑料瓶、吹塑多层瓶、注塑制品、量杯、多层聚碳酸酯片材和超轻多层聚碳酸酯片材</x:v>
      </x:c>
      <x:c r="Q159" s="32" t="n">
        <x:v>28</x:v>
      </x:c>
      <x:c r="R159" s="32" t="n">
        <x:v>419</x:v>
      </x:c>
      <x:c r="S159" s="33" t="n">
        <x:v>0.0668</x:v>
      </x:c>
      <x:c r="T159" s="34" t="n">
        <x:v>45672.666666666664</x:v>
      </x:c>
      <x:c r="U159" s="30" t="str">
        <x:v>cs@saraswatigroupdb.com</x:v>
      </x:c>
      <x:c r="V159" s="30" t="str"/>
      <x:c r="W159" s="30" t="str">
        <x:v>+91 1923 222 814</x:v>
      </x:c>
      <x:c r="X159" s="30" t="str"/>
      <x:c r="Y159" s="30" t="str">
        <x:v>+91 1923 222 814:状态1/类型1/WhatsApp2</x:v>
      </x:c>
      <x:c r="Z159" s="30" t="str"/>
      <x:c r="AA159" s="30" t="str"/>
      <x:c r="AB159" s="30" t="str"/>
      <x:c r="AC159" s="30" t="str">
        <x:v>cs@saraswatigroupdb.com:1</x:v>
      </x:c>
      <x:c r="AD159" s="30" t="str">
        <x:v>遮蔽膜</x:v>
      </x:c>
      <x:c r="AE159" s="30" t="str">
        <x:v>遮蔽膜；保护膜；透明薄膜；PS片材</x:v>
      </x:c>
      <x:c r="AF159" s="30" t="str">
        <x:v>MASKING FILM (PRE PROTECTION FILM),FILM CLEAR FILM FOR PS SHEET,50*1250*1500(20 ROLLS)(ACTUAL USER)MASKING FILM (PRE PROTECTION FILM)</x:v>
      </x:c>
      <x:c r="AG159" s="30" t="str">
        <x:v>预保护膜；表面遮蔽膜；透明遮蔽膜；PS片材保护膜；临时遮蔽膜</x:v>
      </x:c>
      <x:c r="AH159" s="30" t="str">
        <x:v>塑料树脂；聚合物；添加剂；溶剂；颜料</x:v>
      </x:c>
      <x:c r="AI159" s="30" t="str">
        <x:v>电子制造；汽车涂装；家具生产；玻璃制造；建筑施工</x:v>
      </x:c>
      <x:c r="AJ159" s="30" t="str">
        <x:v>遮蔽膜</x:v>
      </x:c>
      <x:c r="AK159" s="30" t="str">
        <x:v>masking-film-buyers-exact-search</x:v>
      </x:c>
      <x:c r="AL159" s="30" t="str">
        <x:v>UpKuajing customs company contact API</x:v>
      </x:c>
      <x:c r="AM159" s="30" t="str"/>
      <x:c r="AN159" s="30" t="str"/>
      <x:c r="AO159" s="34" t="n">
        <x:v>46220</x:v>
      </x:c>
    </x:row>
    <x:row r="160" ht="44" customHeight="1">
      <x:c r="A160" s="30" t="str">
        <x:v>API联系方式已获取</x:v>
      </x:c>
      <x:c r="B160" s="30" t="str">
        <x:v>常规-全球</x:v>
      </x:c>
      <x:c r="C160" s="30" t="str">
        <x:v>刷子</x:v>
      </x:c>
      <x:c r="D160" s="31" t="str">
        <x:v>20451694</x:v>
      </x:c>
      <x:c r="E160" s="30" t="str">
        <x:v>FARMCITY SA</x:v>
      </x:c>
      <x:c r="F160" s="30" t="str">
        <x:v>阿根廷</x:v>
      </x:c>
      <x:c r="G160" s="30" t="str">
        <x:v>contact@farmcity.co</x:v>
      </x:c>
      <x:c r="H160" s="30" t="str">
        <x:f>IF(ISNUMBER(SEARCH(":1",AC160)),"已验证有效",IF(ISNUMBER(SEARCH(":3",AC160)),"验证不确定",IF(ISNUMBER(SEARCH(":0",AC160)),"接口未能检测",IF(ISNUMBER(SEARCH(":2",AC160)),"判定无效",IF(V160&lt;&gt;"","官网已确认-未验证","无邮箱")))))</x:f>
        <x:v>已验证有效</x:v>
      </x:c>
      <x:c r="I160" s="30" t="str">
        <x:v>+54 11 4821-3000</x:v>
      </x:c>
      <x:c r="J160" s="30" t="str">
        <x:v>www.farmacity.com</x:v>
      </x:c>
      <x:c r="K160" s="35" t="n">
        <x:f>ROUND((IF(H160="已验证有效",40,IF(V160&lt;&gt;"",20,0))+IF(ISNUMBER(SEARCH("状态1",Y160)),25,0)+IF(J160&lt;&gt;"",20,0)+IF(AA160&lt;&gt;"",15,0))/100,2)</x:f>
        <x:v>1</x:v>
      </x:c>
      <x:c r="L160" s="30" t="str">
        <x:v>待联系</x:v>
      </x:c>
      <x:c r="M160" s="30" t="str"/>
      <x:c r="N160" s="30" t="str">
        <x:v>SANTA FE AV. 2755 PISO:1</x:v>
      </x:c>
      <x:c r="O160" s="30" t="str"/>
      <x:c r="P160" s="30" t="str">
        <x:v>药品、处方药、非处方药、保健和美容产品以及日用商品</x:v>
      </x:c>
      <x:c r="Q160" s="32" t="n">
        <x:v>26</x:v>
      </x:c>
      <x:c r="R160" s="32" t="n">
        <x:v>9121</x:v>
      </x:c>
      <x:c r="S160" s="33" t="n">
        <x:v>0.0029</x:v>
      </x:c>
      <x:c r="T160" s="34" t="n">
        <x:v>45860.666666666664</x:v>
      </x:c>
      <x:c r="U160" s="30" t="str">
        <x:v>contact@farmcity.co; ejemplo@mail.com</x:v>
      </x:c>
      <x:c r="V160" s="30" t="str"/>
      <x:c r="W160" s="30" t="str">
        <x:v>+54 11 4821-3000</x:v>
      </x:c>
      <x:c r="X160" s="30" t="str"/>
      <x:c r="Y160" s="30" t="str">
        <x:v>+54 11 4821-3000:状态1/类型1/WhatsApp2</x:v>
      </x:c>
      <x:c r="Z160" s="30" t="str"/>
      <x:c r="AA160" s="30" t="str">
        <x:v>https://www.facebook.com/Farmacity; https://www.facebook.com/Farmacity/?locale=es_LA; https://www.instagram.com/farmacityoficial; https://twitter.com/farmacity; https://www.youtube.com/@farmacityarg; https://www.youtube.com/user/farmacityarg</x:v>
      </x:c>
      <x:c r="AB160" s="30" t="str"/>
      <x:c r="AC160" s="30" t="str">
        <x:v>contact@farmcity.co:1; ejemplo@mail.com:0</x:v>
      </x:c>
      <x:c r="AD160" s="30" t="str">
        <x:v>Toothbrush；Toothbrush for dentures；Broom；刷子；油漆刷</x:v>
      </x:c>
      <x:c r="AE160" s="30" t="str">
        <x:v>Toothbrush；Broom；刷子；橡胶；塑料</x:v>
      </x:c>
      <x:c r="AF160" s="30" t="str">
        <x:v>LOS DEMAS. LOS DEMAS DE CAUCHO O DE PLASTICO, INCLUSO CON MONTURA DE OTRAS MATERIAS. CEPILLOS DE DIENTES, INCLUIDOS LOS CEPILLOS PARA DENTADURAS POSTIZAS. ESCOBAS Y ESCOBILLAS, CEPILLOS, BROCHAS Y PINCELES (INCLUSO SI SON PARTES DE MAQUINAS, APARATOS ...</x:v>
      </x:c>
      <x:c r="AG160" s="30" t="str">
        <x:v>Oral brush；Denture brush；Cleaning brush；Scrub brush；Art brush</x:v>
      </x:c>
      <x:c r="AH160" s="30" t="str">
        <x:v>橡胶；塑料；Fiber；Wood；金属</x:v>
      </x:c>
      <x:c r="AI160" s="30" t="str">
        <x:v>Household cleaning；Oral care；Denture care；Art creation；Industrial cleaning</x:v>
      </x:c>
      <x:c r="AJ160" s="30" t="str">
        <x:v>刷子</x:v>
      </x:c>
      <x:c r="AK160" s="30" t="str">
        <x:v>expansion-search-brush-page-08</x:v>
      </x:c>
      <x:c r="AL160" s="30" t="str">
        <x:v>UpKuajing customs company contact API</x:v>
      </x:c>
      <x:c r="AM160" s="30" t="str"/>
      <x:c r="AN160" s="30" t="str"/>
      <x:c r="AO160" s="34" t="n">
        <x:v>46220</x:v>
      </x:c>
    </x:row>
    <x:row r="161" ht="44" customHeight="1">
      <x:c r="A161" s="30" t="str">
        <x:v>API联系方式已获取</x:v>
      </x:c>
      <x:c r="B161" s="30" t="str">
        <x:v>常规-全球</x:v>
      </x:c>
      <x:c r="C161" s="30" t="str">
        <x:v>刷子</x:v>
      </x:c>
      <x:c r="D161" s="31" t="str">
        <x:v>20430327</x:v>
      </x:c>
      <x:c r="E161" s="30" t="str">
        <x:v>L OREAL CHILE S A</x:v>
      </x:c>
      <x:c r="F161" s="30" t="str">
        <x:v>智利</x:v>
      </x:c>
      <x:c r="G161" s="30" t="str">
        <x:v>cbenoit@cl.loreal.com</x:v>
      </x:c>
      <x:c r="H161" s="30" t="str">
        <x:f>IF(ISNUMBER(SEARCH(":1",AC161)),"已验证有效",IF(ISNUMBER(SEARCH(":3",AC161)),"验证不确定",IF(ISNUMBER(SEARCH(":0",AC161)),"接口未能检测",IF(ISNUMBER(SEARCH(":2",AC161)),"判定无效",IF(V161&lt;&gt;"","官网已确认-未验证","无邮箱")))))</x:f>
        <x:v>接口未能检测</x:v>
      </x:c>
      <x:c r="I161" s="30" t="str">
        <x:v>+56 9 8198 4488</x:v>
      </x:c>
      <x:c r="J161" s="30" t="str">
        <x:v>www.loreal.com</x:v>
      </x:c>
      <x:c r="K161" s="35" t="n">
        <x:f>ROUND((IF(H161="已验证有效",40,IF(V161&lt;&gt;"",20,0))+IF(ISNUMBER(SEARCH("状态1",Y161)),25,0)+IF(J161&lt;&gt;"",20,0)+IF(AA161&lt;&gt;"",15,0))/100,2)</x:f>
        <x:v>0.6</x:v>
      </x:c>
      <x:c r="L161" s="30" t="str">
        <x:v>待联系</x:v>
      </x:c>
      <x:c r="M161" s="30" t="str"/>
      <x:c r="N161" s="30" t="str">
        <x:v>AVENIDA APOQUINDO 3885 201 , LAS CONDES</x:v>
      </x:c>
      <x:c r="O161" s="30" t="str"/>
      <x:c r="P161" s="30" t="str">
        <x:v>化妆品及其他相关产品（护肤、护发、染发、彩妆及造型产品）</x:v>
      </x:c>
      <x:c r="Q161" s="32" t="n">
        <x:v>26</x:v>
      </x:c>
      <x:c r="R161" s="32" t="n">
        <x:v>127360</x:v>
      </x:c>
      <x:c r="S161" s="33" t="n">
        <x:v>0.0002</x:v>
      </x:c>
      <x:c r="T161" s="34" t="n">
        <x:v>45770.666666666664</x:v>
      </x:c>
      <x:c r="U161" s="30" t="str">
        <x:v>cbenoit@cl.loreal.com</x:v>
      </x:c>
      <x:c r="V161" s="30" t="str"/>
      <x:c r="W161" s="30" t="str">
        <x:v>+56 9 8198 4488</x:v>
      </x:c>
      <x:c r="X161" s="30" t="str"/>
      <x:c r="Y161" s="30" t="str">
        <x:v>+56 9 8198 4488:状态1/类型3/WhatsApp1</x:v>
      </x:c>
      <x:c r="Z161" s="30" t="str">
        <x:v>+56 9 8198 4488</x:v>
      </x:c>
      <x:c r="AA161" s="30" t="str">
        <x:v>https://www.facebook.com/lorealgroupe; https://www.instagram.com/lorealgroupe; https://www.linkedin.com/company/1662?trk=tyah; https://twitter.com/lorealgroupe?lang=en; https://www.youtube.com/channel/UCgmvz6qxtga4W6n1mfmM0Zw</x:v>
      </x:c>
      <x:c r="AB161" s="30" t="str"/>
      <x:c r="AC161" s="30" t="str">
        <x:v>cbenoit@cl.loreal.com:0</x:v>
      </x:c>
      <x:c r="AD161" s="30" t="str">
        <x:v>油漆刷；Writing brush；Cosmetic brush</x:v>
      </x:c>
      <x:c r="AE161" s="30" t="str">
        <x:v>刷子；Painting；Writing；Cosmetics</x:v>
      </x:c>
      <x:c r="AF161" s="30" t="str">
        <x:v>BROCHALOREAL PINCELES Y BROCHAS P/PINTURA ARTISTICA, P/ESCRIBIR Y SIMILARES, P/COSMETICA</x:v>
      </x:c>
      <x:c r="AG161" s="30" t="str">
        <x:v>油漆刷；Calligraphy brush；Makeup brush；Artist's brush；Writing implement</x:v>
      </x:c>
      <x:c r="AH161" s="30" t="str">
        <x:v>Bristles；Wood；塑料；金属；Fur</x:v>
      </x:c>
      <x:c r="AI161" s="30" t="str">
        <x:v>Artwork；Calligraphy works；Makeup products；Writing materials；Decorative items</x:v>
      </x:c>
      <x:c r="AJ161" s="30" t="str">
        <x:v>刷子</x:v>
      </x:c>
      <x:c r="AK161" s="30" t="str">
        <x:v>expansion-search-brush-page-03; expansion-search-brush-page-04</x:v>
      </x:c>
      <x:c r="AL161" s="30" t="str">
        <x:v>UpKuajing customs company contact API</x:v>
      </x:c>
      <x:c r="AM161" s="30" t="str"/>
      <x:c r="AN161" s="30" t="str"/>
      <x:c r="AO161" s="34" t="n">
        <x:v>46220</x:v>
      </x:c>
    </x:row>
    <x:row r="162" ht="44" customHeight="1">
      <x:c r="A162" s="30" t="str">
        <x:v>API联系方式已获取</x:v>
      </x:c>
      <x:c r="B162" s="30" t="str">
        <x:v>常规-全球</x:v>
      </x:c>
      <x:c r="C162" s="30" t="str">
        <x:v>胶带</x:v>
      </x:c>
      <x:c r="D162" s="31" t="str">
        <x:v>20432683</x:v>
      </x:c>
      <x:c r="E162" s="30" t="str">
        <x:v>DHOOT TRANSMISSION PRIVATE LIMITED</x:v>
      </x:c>
      <x:c r="F162" s="30" t="str">
        <x:v>印度</x:v>
      </x:c>
      <x:c r="G162" s="30" t="str">
        <x:v>cs@carlingdhoot.com</x:v>
      </x:c>
      <x:c r="H162" s="30" t="str">
        <x:f>IF(ISNUMBER(SEARCH(":1",AC162)),"已验证有效",IF(ISNUMBER(SEARCH(":3",AC162)),"验证不确定",IF(ISNUMBER(SEARCH(":0",AC162)),"接口未能检测",IF(ISNUMBER(SEARCH(":2",AC162)),"判定无效",IF(V162&lt;&gt;"","官网已确认-未验证","无邮箱")))))</x:f>
        <x:v>已验证有效</x:v>
      </x:c>
      <x:c r="I162" s="30" t="str">
        <x:v>+91 78754 48435</x:v>
      </x:c>
      <x:c r="J162" s="30" t="str">
        <x:v>www.dhoottransmission.com</x:v>
      </x:c>
      <x:c r="K162" s="35" t="n">
        <x:f>ROUND((IF(H162="已验证有效",40,IF(V162&lt;&gt;"",20,0))+IF(ISNUMBER(SEARCH("状态1",Y162)),25,0)+IF(J162&lt;&gt;"",20,0)+IF(AA162&lt;&gt;"",15,0))/100,2)</x:f>
        <x:v>1</x:v>
      </x:c>
      <x:c r="L162" s="30" t="str">
        <x:v>待联系</x:v>
      </x:c>
      <x:c r="M162" s="30" t="str"/>
      <x:c r="N162" s="30" t="str">
        <x:v>GUT NO 312 , NANEKARWADI , TQ KHED,  PUNE</x:v>
      </x:c>
      <x:c r="O162" s="30" t="str"/>
      <x:c r="P162" s="30" t="str">
        <x:v>线束及相关产品</x:v>
      </x:c>
      <x:c r="Q162" s="32" t="n">
        <x:v>23</x:v>
      </x:c>
      <x:c r="R162" s="32" t="n">
        <x:v>12796</x:v>
      </x:c>
      <x:c r="S162" s="33" t="n">
        <x:v>0.0018</x:v>
      </x:c>
      <x:c r="T162" s="34" t="n">
        <x:v>45853.666666666664</x:v>
      </x:c>
      <x:c r="U162" s="30" t="str">
        <x:v>cs@carlingdhoot.com</x:v>
      </x:c>
      <x:c r="V162" s="30" t="str"/>
      <x:c r="W162" s="30" t="str">
        <x:v>+91 78754 48435</x:v>
      </x:c>
      <x:c r="X162" s="30" t="str"/>
      <x:c r="Y162" s="30" t="str">
        <x:v>+91 78754 48435:状态1/类型3/WhatsApp2</x:v>
      </x:c>
      <x:c r="Z162" s="30" t="str"/>
      <x:c r="AA162" s="30" t="str">
        <x:v>https://www.facebook.com/dhoottransmission; https://www.linkedin.com/company/dhoot-transmission; https://twitter.com/DTPLIndia; https://www.youtube.com/channel/UCNjT2sIWuAeiT3uzkA7NorQ</x:v>
      </x:c>
      <x:c r="AB162" s="30" t="str"/>
      <x:c r="AC162" s="30" t="str">
        <x:v>cs@carlingdhoot.com:1</x:v>
      </x:c>
      <x:c r="AD162" s="30" t="str"/>
      <x:c r="AE162" s="30" t="str"/>
      <x:c r="AF162" s="30" t="str">
        <x:v>POLYESTER TAPE - CERTOPLAST 514/62020005-11 ( WITH A STRONGSYNTHETIC RUBBER-BASED ADHESIVE) (27648 ROLL)POLYESTER TAPE - CERTOPLAST 514/62020005-11 ( WITH A STRON</x:v>
      </x:c>
      <x:c r="AG162" s="30" t="str"/>
      <x:c r="AH162" s="30" t="str"/>
      <x:c r="AI162" s="30" t="str"/>
      <x:c r="AJ162" s="30" t="str">
        <x:v>胶带</x:v>
      </x:c>
      <x:c r="AK162" s="30" t="str">
        <x:v>expansion-search-tape-page-02</x:v>
      </x:c>
      <x:c r="AL162" s="30" t="str">
        <x:v>UpKuajing customs company contact API</x:v>
      </x:c>
      <x:c r="AM162" s="30" t="str"/>
      <x:c r="AN162" s="30" t="str"/>
      <x:c r="AO162" s="34" t="n">
        <x:v>46220</x:v>
      </x:c>
    </x:row>
    <x:row r="163" ht="44" customHeight="1">
      <x:c r="A163" s="30" t="str">
        <x:v>API联系方式已获取</x:v>
      </x:c>
      <x:c r="B163" s="30" t="str">
        <x:v>常规-全球</x:v>
      </x:c>
      <x:c r="C163" s="30" t="str">
        <x:v>刷子</x:v>
      </x:c>
      <x:c r="D163" s="31" t="str">
        <x:v>20459275</x:v>
      </x:c>
      <x:c r="E163" s="30" t="str">
        <x:v>NATURA COSMETICOS LTDA</x:v>
      </x:c>
      <x:c r="F163" s="30" t="str">
        <x:v>哥伦比亚</x:v>
      </x:c>
      <x:c r="G163" s="30" t="str">
        <x:v>dianalopez@natura.net</x:v>
      </x:c>
      <x:c r="H163" s="30" t="str">
        <x:f>IF(ISNUMBER(SEARCH(":1",AC163)),"已验证有效",IF(ISNUMBER(SEARCH(":3",AC163)),"验证不确定",IF(ISNUMBER(SEARCH(":0",AC163)),"接口未能检测",IF(ISNUMBER(SEARCH(":2",AC163)),"判定无效",IF(V163&lt;&gt;"","官网已确认-未验证","无邮箱")))))</x:f>
        <x:v>已验证有效</x:v>
      </x:c>
      <x:c r="I163" s="30" t="str">
        <x:v>5713268787</x:v>
      </x:c>
      <x:c r="J163" s="30" t="str">
        <x:v>www.natura.com.co</x:v>
      </x:c>
      <x:c r="K163" s="35" t="n">
        <x:f>ROUND((IF(H163="已验证有效",40,IF(V163&lt;&gt;"",20,0))+IF(ISNUMBER(SEARCH("状态1",Y163)),25,0)+IF(J163&lt;&gt;"",20,0)+IF(AA163&lt;&gt;"",15,0))/100,2)</x:f>
        <x:v>0.6</x:v>
      </x:c>
      <x:c r="L163" s="30" t="str">
        <x:v>待联系</x:v>
      </x:c>
      <x:c r="M163" s="30" t="str"/>
      <x:c r="N163" s="30" t="str">
        <x:v>CARRERA 19 100 45 PISO 3</x:v>
      </x:c>
      <x:c r="O163" s="30" t="str"/>
      <x:c r="P163" s="30" t="str">
        <x:v>化妆品</x:v>
      </x:c>
      <x:c r="Q163" s="32" t="n">
        <x:v>23</x:v>
      </x:c>
      <x:c r="R163" s="32" t="n">
        <x:v>112399</x:v>
      </x:c>
      <x:c r="S163" s="33" t="n">
        <x:v>0.0002</x:v>
      </x:c>
      <x:c r="T163" s="34" t="n">
        <x:v>45862.666666666664</x:v>
      </x:c>
      <x:c r="U163" s="30" t="str">
        <x:v>dianalopez@natura.net</x:v>
      </x:c>
      <x:c r="V163" s="30" t="str"/>
      <x:c r="W163" s="30" t="str">
        <x:v>5713268787</x:v>
      </x:c>
      <x:c r="X163" s="30" t="str"/>
      <x:c r="Y163" s="30" t="str">
        <x:v>5713268787:状态2/类型0/WhatsApp2</x:v>
      </x:c>
      <x:c r="Z163" s="30" t="str"/>
      <x:c r="AA163" s="30" t="str"/>
      <x:c r="AB163" s="30" t="str"/>
      <x:c r="AC163" s="30" t="str">
        <x:v>dianalopez@natura.net:1</x:v>
      </x:c>
      <x:c r="AD163" s="30" t="str">
        <x:v>Avon Face Powder Brush</x:v>
      </x:c>
      <x:c r="AE163" s="30" t="str">
        <x:v>Avon；Face powder brush；Makeup</x:v>
      </x:c>
      <x:c r="AF163" s="30" t="str">
        <x:v>AVON BROCHA ROSTRO POLVO</x:v>
      </x:c>
      <x:c r="AG163" s="30" t="str">
        <x:v>Cosmetic brush；Powder brush；Makeup tool；Beauty brush；Facial powder brush</x:v>
      </x:c>
      <x:c r="AH163" s="30" t="str">
        <x:v>Bristles；Wood；塑料；金属；Synthetic fibers</x:v>
      </x:c>
      <x:c r="AI163" s="30" t="str">
        <x:v>Makeup products；Cosmetics；Beauty kits；Makeup sets；Personal care items</x:v>
      </x:c>
      <x:c r="AJ163" s="30" t="str">
        <x:v>刷子</x:v>
      </x:c>
      <x:c r="AK163" s="30" t="str">
        <x:v>expansion-search-brush-page-09</x:v>
      </x:c>
      <x:c r="AL163" s="30" t="str">
        <x:v>UpKuajing customs company contact API</x:v>
      </x:c>
      <x:c r="AM163" s="30" t="str"/>
      <x:c r="AN163" s="30" t="str"/>
      <x:c r="AO163" s="34" t="n">
        <x:v>46220</x:v>
      </x:c>
    </x:row>
    <x:row r="164" ht="44" customHeight="1">
      <x:c r="A164" s="30" t="str">
        <x:v>API联系方式已获取</x:v>
      </x:c>
      <x:c r="B164" s="30" t="str">
        <x:v>常规-全球</x:v>
      </x:c>
      <x:c r="C164" s="30" t="str">
        <x:v>刷子</x:v>
      </x:c>
      <x:c r="D164" s="31" t="str">
        <x:v>20427300</x:v>
      </x:c>
      <x:c r="E164" s="30" t="str">
        <x:v>RELIANZ MINING SOLUTIONS S A S</x:v>
      </x:c>
      <x:c r="F164" s="30" t="str">
        <x:v>哥伦比亚</x:v>
      </x:c>
      <x:c r="G164" s="30" t="str">
        <x:v>javier.bravo@relianz.com.co</x:v>
      </x:c>
      <x:c r="H164" s="30" t="str">
        <x:f>IF(ISNUMBER(SEARCH(":1",AC164)),"已验证有效",IF(ISNUMBER(SEARCH(":3",AC164)),"验证不确定",IF(ISNUMBER(SEARCH(":0",AC164)),"接口未能检测",IF(ISNUMBER(SEARCH(":2",AC164)),"判定无效",IF(V164&lt;&gt;"","官网已确认-未验证","无邮箱")))))</x:f>
        <x:v>已验证有效</x:v>
      </x:c>
      <x:c r="I164" s="30" t="str">
        <x:v>5753361200</x:v>
      </x:c>
      <x:c r="J164" s="30" t="str">
        <x:v>www.relianzcat.com</x:v>
      </x:c>
      <x:c r="K164" s="35" t="n">
        <x:f>ROUND((IF(H164="已验证有效",40,IF(V164&lt;&gt;"",20,0))+IF(ISNUMBER(SEARCH("状态1",Y164)),25,0)+IF(J164&lt;&gt;"",20,0)+IF(AA164&lt;&gt;"",15,0))/100,2)</x:f>
        <x:v>0.75</x:v>
      </x:c>
      <x:c r="L164" s="30" t="str">
        <x:v>待联系</x:v>
      </x:c>
      <x:c r="M164" s="30" t="str"/>
      <x:c r="N164" s="30" t="str">
        <x:v>CALLE 30 CR 19 04</x:v>
      </x:c>
      <x:c r="O164" s="30" t="str"/>
      <x:c r="P164" s="30" t="str">
        <x:v>油气田机械设备及其他相关石油勘探专用设备</x:v>
      </x:c>
      <x:c r="Q164" s="32" t="n">
        <x:v>22</x:v>
      </x:c>
      <x:c r="R164" s="32" t="n">
        <x:v>102536</x:v>
      </x:c>
      <x:c r="S164" s="33" t="n">
        <x:v>0.0002</x:v>
      </x:c>
      <x:c r="T164" s="34" t="n">
        <x:v>45797.666666666664</x:v>
      </x:c>
      <x:c r="U164" s="30" t="str">
        <x:v>javier.bravo@relianz.com.co</x:v>
      </x:c>
      <x:c r="V164" s="30" t="str"/>
      <x:c r="W164" s="30" t="str">
        <x:v>5753361200</x:v>
      </x:c>
      <x:c r="X164" s="30" t="str"/>
      <x:c r="Y164" s="30" t="str">
        <x:v>5753361200:状态2/类型0/WhatsApp2</x:v>
      </x:c>
      <x:c r="Z164" s="30" t="str"/>
      <x:c r="AA164" s="30" t="str">
        <x:v>https://www.facebook.com/RELIANZCAT; https://www.instagram.com/relianzcat; https://www.linkedin.com/company/relianz-mining-solutions; https://www.youtube.com/watch?v=LIR6szz5MZg&amp;t=1s</x:v>
      </x:c>
      <x:c r="AB164" s="30" t="str"/>
      <x:c r="AC164" s="30" t="str">
        <x:v>javier.bravo@relianz.com.co:1</x:v>
      </x:c>
      <x:c r="AD164" s="30" t="str">
        <x:v>刷子</x:v>
      </x:c>
      <x:c r="AE164" s="30" t="str">
        <x:v>刷子；Steel；Industrial</x:v>
      </x:c>
      <x:c r="AF164" s="30" t="str">
        <x:v>DO: 2549131, 014 F898854 RSTO 092 092. MERCANCIA NUEVO. NOS ACOGEMOS AL DTO. 925 DE 9 MAYO 2013. MANIFIESTO 116575015602732 FECHA 2025-05-21. FACTURA: INV-000301017 2025-05-17 PRODUCTO: CEPILLO. MATERIA CONSTITUTIVA: ACERO. USO: INDUSTRIAL, EN TALLER ...</x:v>
      </x:c>
      <x:c r="AG164" s="30" t="str">
        <x:v>Scrub brush；Cleaning brush；Wire brush；Bristle brush；Industrial brush</x:v>
      </x:c>
      <x:c r="AH164" s="30" t="str">
        <x:v>Steel；金属；Wire；Bristles；塑料</x:v>
      </x:c>
      <x:c r="AI164" s="30" t="str">
        <x:v>Manufacturing；Automotive；建筑施工；Maintenance；Cleaning</x:v>
      </x:c>
      <x:c r="AJ164" s="30" t="str">
        <x:v>刷子</x:v>
      </x:c>
      <x:c r="AK164" s="30" t="str">
        <x:v>expansion-search-brush-page-02</x:v>
      </x:c>
      <x:c r="AL164" s="30" t="str">
        <x:v>UpKuajing customs company contact API</x:v>
      </x:c>
      <x:c r="AM164" s="30" t="str"/>
      <x:c r="AN164" s="30" t="str"/>
      <x:c r="AO164" s="34" t="n">
        <x:v>46220</x:v>
      </x:c>
    </x:row>
    <x:row r="165" ht="44" customHeight="1">
      <x:c r="A165" s="30" t="str">
        <x:v>API联系方式已获取</x:v>
      </x:c>
      <x:c r="B165" s="30" t="str">
        <x:v>常规-全球</x:v>
      </x:c>
      <x:c r="C165" s="30" t="str">
        <x:v>刷子</x:v>
      </x:c>
      <x:c r="D165" s="31" t="str">
        <x:v>20429106</x:v>
      </x:c>
      <x:c r="E165" s="30" t="str">
        <x:v>SUZUKI MOTOR DE COLOMBIA S A</x:v>
      </x:c>
      <x:c r="F165" s="30" t="str">
        <x:v>哥伦比亚</x:v>
      </x:c>
      <x:c r="G165" s="30" t="str">
        <x:v>contabilidad@suzuki.com.co</x:v>
      </x:c>
      <x:c r="H165" s="30" t="str">
        <x:f>IF(ISNUMBER(SEARCH(":1",AC165)),"已验证有效",IF(ISNUMBER(SEARCH(":3",AC165)),"验证不确定",IF(ISNUMBER(SEARCH(":0",AC165)),"接口未能检测",IF(ISNUMBER(SEARCH(":2",AC165)),"判定无效",IF(V165&lt;&gt;"","官网已确认-未验证","无邮箱")))))</x:f>
        <x:v>已验证有效</x:v>
      </x:c>
      <x:c r="I165" s="30" t="str">
        <x:v>+57 310 4517242</x:v>
      </x:c>
      <x:c r="J165" s="30" t="str">
        <x:v>www.suzuki.com.co</x:v>
      </x:c>
      <x:c r="K165" s="35" t="n">
        <x:f>ROUND((IF(H165="已验证有效",40,IF(V165&lt;&gt;"",20,0))+IF(ISNUMBER(SEARCH("状态1",Y165)),25,0)+IF(J165&lt;&gt;"",20,0)+IF(AA165&lt;&gt;"",15,0))/100,2)</x:f>
        <x:v>1</x:v>
      </x:c>
      <x:c r="L165" s="30" t="str">
        <x:v>待联系</x:v>
      </x:c>
      <x:c r="M165" s="30" t="str"/>
      <x:c r="N165" s="30" t="str">
        <x:v>LUGAR KILOMETRO 15 VIA PEREIRA CARTAGO</x:v>
      </x:c>
      <x:c r="O165" s="30" t="str"/>
      <x:c r="P165" s="30" t="str">
        <x:v>摩托车及摩托车配件</x:v>
      </x:c>
      <x:c r="Q165" s="32" t="n">
        <x:v>19</x:v>
      </x:c>
      <x:c r="R165" s="32" t="n">
        <x:v>38435</x:v>
      </x:c>
      <x:c r="S165" s="33" t="n">
        <x:v>0.0005</x:v>
      </x:c>
      <x:c r="T165" s="34" t="n">
        <x:v>45806.666666666664</x:v>
      </x:c>
      <x:c r="U165" s="30" t="str">
        <x:v>contabilidad@suzuki.com; contabilidad@suzuki.com.co; servicioalcliente@suzuki.com</x:v>
      </x:c>
      <x:c r="V165" s="30" t="str"/>
      <x:c r="W165" s="30" t="str">
        <x:v>+57 310 4517242</x:v>
      </x:c>
      <x:c r="X165" s="30" t="str"/>
      <x:c r="Y165" s="30" t="str">
        <x:v>+57 310 4517242:状态1/类型2/WhatsApp1</x:v>
      </x:c>
      <x:c r="Z165" s="30" t="str">
        <x:v>+57 310 4517242</x:v>
      </x:c>
      <x:c r="AA165" s="30" t="str">
        <x:v>https://www.facebook.com/SuzukiColombia; https://www.instagram.com/suzuki_colombia; https://twitter.com/suzuki_colombia; https://www.youtube.com/user/SuzukiCol1</x:v>
      </x:c>
      <x:c r="AB165" s="30" t="str"/>
      <x:c r="AC165" s="30" t="str">
        <x:v>contabilidad@suzuki.com:0; contabilidad@suzuki.com.co:1; servicioalcliente@suzuki.com:0</x:v>
      </x:c>
      <x:c r="AD165" s="30" t="str">
        <x:v>Brush set</x:v>
      </x:c>
      <x:c r="AE165" s="30" t="str">
        <x:v>Brush set</x:v>
      </x:c>
      <x:c r="AF165" s="30" t="str">
        <x:v>CODIGO USUARIO ADUANERO DE TRAMITE SIMPLIFICADO B00427 DO R-027 25 DECLARACION 39 DE 46;FACTURA S :SX-2500380 MERCANCIA NUEVA. POR RAZONES TECNICAS DE FABRICACION LAS MERCANCIAS NO POSEEN NUMERO DE SERIAL. ...PRODUCTO JUEGO ESCOBILLAS, REFERENCIA 3113...</x:v>
      </x:c>
      <x:c r="AG165" s="30" t="str">
        <x:v>Brush kit；Cleaning brush set；Brush collection；Set of brushes；Brush ensemble</x:v>
      </x:c>
      <x:c r="AH165" s="30" t="str">
        <x:v>塑料；Bristles；金属；Wood；橡胶</x:v>
      </x:c>
      <x:c r="AI165" s="30" t="str">
        <x:v>Household cleaning；Industrial cleaning；Automotive cleaning；Office cleaning；Outdoor cleaning</x:v>
      </x:c>
      <x:c r="AJ165" s="30" t="str">
        <x:v>刷子</x:v>
      </x:c>
      <x:c r="AK165" s="30" t="str">
        <x:v>expansion-search-brush-page-03</x:v>
      </x:c>
      <x:c r="AL165" s="30" t="str">
        <x:v>UpKuajing customs company contact API</x:v>
      </x:c>
      <x:c r="AM165" s="30" t="str"/>
      <x:c r="AN165" s="30" t="str"/>
      <x:c r="AO165" s="34" t="n">
        <x:v>46220</x:v>
      </x:c>
    </x:row>
    <x:row r="166" ht="44" customHeight="1">
      <x:c r="A166" s="30" t="str">
        <x:v>API联系方式已获取</x:v>
      </x:c>
      <x:c r="B166" s="30" t="str">
        <x:v>常规-全球</x:v>
      </x:c>
      <x:c r="C166" s="30" t="str">
        <x:v>刷子</x:v>
      </x:c>
      <x:c r="D166" s="31" t="str">
        <x:v>20451649</x:v>
      </x:c>
      <x:c r="E166" s="30" t="str">
        <x:v>BIJOU CHILE SPA</x:v>
      </x:c>
      <x:c r="F166" s="30" t="str">
        <x:v>智利</x:v>
      </x:c>
      <x:c r="G166" s="30" t="str">
        <x:v>arriagada.antecao@gmail.com</x:v>
      </x:c>
      <x:c r="H166" s="30" t="str">
        <x:f>IF(ISNUMBER(SEARCH(":1",AC166)),"已验证有效",IF(ISNUMBER(SEARCH(":3",AC166)),"验证不确定",IF(ISNUMBER(SEARCH(":0",AC166)),"接口未能检测",IF(ISNUMBER(SEARCH(":2",AC166)),"判定无效",IF(V166&lt;&gt;"","官网已确认-未验证","无邮箱")))))</x:f>
        <x:v>已验证有效</x:v>
      </x:c>
      <x:c r="I166" s="30" t="str">
        <x:v>+56 55 231 9751</x:v>
      </x:c>
      <x:c r="J166" s="30" t="str">
        <x:v>bsg.global.trabajando.cl</x:v>
      </x:c>
      <x:c r="K166" s="35" t="n">
        <x:f>ROUND((IF(H166="已验证有效",40,IF(V166&lt;&gt;"",20,0))+IF(ISNUMBER(SEARCH("状态1",Y166)),25,0)+IF(J166&lt;&gt;"",20,0)+IF(AA166&lt;&gt;"",15,0))/100,2)</x:f>
        <x:v>0.85</x:v>
      </x:c>
      <x:c r="L166" s="30" t="str">
        <x:v>待联系</x:v>
      </x:c>
      <x:c r="M166" s="30" t="str"/>
      <x:c r="N166" s="30" t="str">
        <x:v>DEL INCA 4446 401 , LAS CONDES</x:v>
      </x:c>
      <x:c r="O166" s="30" t="str"/>
      <x:c r="P166" s="30" t="str">
        <x:v>女装</x:v>
      </x:c>
      <x:c r="Q166" s="32" t="n">
        <x:v>18</x:v>
      </x:c>
      <x:c r="R166" s="32" t="n">
        <x:v>22976</x:v>
      </x:c>
      <x:c r="S166" s="33" t="n">
        <x:v>0.0008</x:v>
      </x:c>
      <x:c r="T166" s="34" t="n">
        <x:v>45838.666666666664</x:v>
      </x:c>
      <x:c r="U166" s="30" t="str">
        <x:v>arriagada.antecao@gmail.com; laboral@inacap.cl</x:v>
      </x:c>
      <x:c r="V166" s="30" t="str"/>
      <x:c r="W166" s="30" t="str">
        <x:v>+56 55 231 9751</x:v>
      </x:c>
      <x:c r="X166" s="30" t="str"/>
      <x:c r="Y166" s="30" t="str">
        <x:v>+56 55 231 9751:状态1/类型3/WhatsApp2</x:v>
      </x:c>
      <x:c r="Z166" s="30" t="str"/>
      <x:c r="AA166" s="30" t="str"/>
      <x:c r="AB166" s="30" t="str"/>
      <x:c r="AC166" s="30" t="str">
        <x:v>arriagada.antecao@gmail.com:1; laboral@inacap.cl:1</x:v>
      </x:c>
      <x:c r="AD166" s="30" t="str">
        <x:v>Hairbrush；Eyelash brush；Nail brush；Shaving brush</x:v>
      </x:c>
      <x:c r="AE166" s="30" t="str">
        <x:v>刷子；personal grooming</x:v>
      </x:c>
      <x:c r="AF166" s="30" t="str">
        <x:v> CEPILLO DE PELOTODOMODA BROCHAS DE AFEITAR, CEPILLOS P.CABELLO, PESTANAS, UNAS Y DEMAS CEPILLOS PÇARA ASEO PERSONAL, INCL. LOS QUE SEAN PARTES DE APARATOS</x:v>
      </x:c>
      <x:c r="AG166" s="30" t="str">
        <x:v>Grooming brush；Toilet brush；Cosmetic brush；Cleaning brush；Body brush</x:v>
      </x:c>
      <x:c r="AH166" s="30" t="str">
        <x:v>塑料；Wood；Bristle；Nylon；金属</x:v>
      </x:c>
      <x:c r="AI166" s="30" t="str">
        <x:v>Beauty products；Personal care kits；Cosmetic sets；Shaving kits；Hair care products</x:v>
      </x:c>
      <x:c r="AJ166" s="30" t="str">
        <x:v>刷子</x:v>
      </x:c>
      <x:c r="AK166" s="30" t="str">
        <x:v>expansion-search-brush-page-08</x:v>
      </x:c>
      <x:c r="AL166" s="30" t="str">
        <x:v>UpKuajing customs company contact API</x:v>
      </x:c>
      <x:c r="AM166" s="30" t="str"/>
      <x:c r="AN166" s="30" t="str"/>
      <x:c r="AO166" s="34" t="n">
        <x:v>46220</x:v>
      </x:c>
    </x:row>
    <x:row r="167" ht="44" customHeight="1">
      <x:c r="A167" s="30" t="str">
        <x:v>API联系方式已获取</x:v>
      </x:c>
      <x:c r="B167" s="30" t="str">
        <x:v>常规-全球</x:v>
      </x:c>
      <x:c r="C167" s="30" t="str">
        <x:v>刷子</x:v>
      </x:c>
      <x:c r="D167" s="31" t="str">
        <x:v>20431871</x:v>
      </x:c>
      <x:c r="E167" s="30" t="str">
        <x:v>FORMOSA INDUSTRIES CORPORATION</x:v>
      </x:c>
      <x:c r="F167" s="30" t="str">
        <x:v>越南</x:v>
      </x:c>
      <x:c r="G167" s="30" t="str">
        <x:v>formosant@hcm.vnn.vn</x:v>
      </x:c>
      <x:c r="H167" s="30" t="str">
        <x:f>IF(ISNUMBER(SEARCH(":1",AC167)),"已验证有效",IF(ISNUMBER(SEARCH(":3",AC167)),"验证不确定",IF(ISNUMBER(SEARCH(":0",AC167)),"接口未能检测",IF(ISNUMBER(SEARCH(":2",AC167)),"判定无效",IF(V167&lt;&gt;"","官网已确认-未验证","无邮箱")))))</x:f>
        <x:v>已验证有效</x:v>
      </x:c>
      <x:c r="I167" s="30" t="str">
        <x:v>+84 251 3560 309</x:v>
      </x:c>
      <x:c r="J167" s="30" t="str">
        <x:v>www.formosagear.com</x:v>
      </x:c>
      <x:c r="K167" s="35" t="n">
        <x:f>ROUND((IF(H167="已验证有效",40,IF(V167&lt;&gt;"",20,0))+IF(ISNUMBER(SEARCH("状态1",Y167)),25,0)+IF(J167&lt;&gt;"",20,0)+IF(AA167&lt;&gt;"",15,0))/100,2)</x:f>
        <x:v>0.85</x:v>
      </x:c>
      <x:c r="L167" s="30" t="str">
        <x:v>待联系</x:v>
      </x:c>
      <x:c r="M167" s="30" t="str"/>
      <x:c r="N167" s="30" t="str">
        <x:v>NHON TRACH 3 INDUSTRIAL ZONE, HIEP PHUOC COMMUNE, NHON TRACH DISTRICT</x:v>
      </x:c>
      <x:c r="O167" s="30" t="str"/>
      <x:c r="P167" s="30" t="str">
        <x:v>纱线和纺织纤维</x:v>
      </x:c>
      <x:c r="Q167" s="32" t="n">
        <x:v>18</x:v>
      </x:c>
      <x:c r="R167" s="32" t="n">
        <x:v>18827</x:v>
      </x:c>
      <x:c r="S167" s="33" t="n">
        <x:v>0.001</x:v>
      </x:c>
      <x:c r="T167" s="34" t="n">
        <x:v>46092.666666666664</x:v>
      </x:c>
      <x:c r="U167" s="30" t="str">
        <x:v>formosant@hcm.vnn.vn</x:v>
      </x:c>
      <x:c r="V167" s="30" t="str"/>
      <x:c r="W167" s="30" t="str">
        <x:v>+84 251 3560 309</x:v>
      </x:c>
      <x:c r="X167" s="30" t="str"/>
      <x:c r="Y167" s="30" t="str">
        <x:v>+84 251 3560 309:状态1/类型1/WhatsApp2</x:v>
      </x:c>
      <x:c r="Z167" s="30" t="str"/>
      <x:c r="AA167" s="30" t="str"/>
      <x:c r="AB167" s="30" t="str"/>
      <x:c r="AC167" s="30" t="str">
        <x:v>formosant@hcm.vnn.vn:1</x:v>
      </x:c>
      <x:c r="AD167" s="30" t="str"/>
      <x:c r="AE167" s="30" t="str"/>
      <x:c r="AF167" s="30" t="str">
        <x:v>Graphite brushes for turbine generators BRUSH DWG NO. M530-278715 M798-5G1901 C1 P/N: 3 320, 100% new</x:v>
      </x:c>
      <x:c r="AG167" s="30" t="str"/>
      <x:c r="AH167" s="30" t="str"/>
      <x:c r="AI167" s="30" t="str"/>
      <x:c r="AJ167" s="30" t="str">
        <x:v>刷子</x:v>
      </x:c>
      <x:c r="AK167" s="30" t="str">
        <x:v>expansion-search-brush-page-04; expansion-search-brush-page-05</x:v>
      </x:c>
      <x:c r="AL167" s="30" t="str">
        <x:v>UpKuajing customs company contact API</x:v>
      </x:c>
      <x:c r="AM167" s="30" t="str"/>
      <x:c r="AN167" s="30" t="str"/>
      <x:c r="AO167" s="34" t="n">
        <x:v>46220</x:v>
      </x:c>
    </x:row>
    <x:row r="168" ht="44" customHeight="1">
      <x:c r="A168" s="30" t="str">
        <x:v>API联系方式已获取</x:v>
      </x:c>
      <x:c r="B168" s="30" t="str">
        <x:v>常规-全球</x:v>
      </x:c>
      <x:c r="C168" s="30" t="str">
        <x:v>塑料桶；油漆刷</x:v>
      </x:c>
      <x:c r="D168" s="31" t="str">
        <x:v>71383355</x:v>
      </x:c>
      <x:c r="E168" s="30" t="str">
        <x:v>C.H. ROBINSON INTERNATIONAL, INC.</x:v>
      </x:c>
      <x:c r="F168" s="30" t="str">
        <x:v>波多黎各</x:v>
      </x:c>
      <x:c r="G168" s="30" t="str">
        <x:v>kathleen.sharp@chrobinson.com</x:v>
      </x:c>
      <x:c r="H168" s="30" t="str">
        <x:f>IF(ISNUMBER(SEARCH(":1",AC168)),"已验证有效",IF(ISNUMBER(SEARCH(":3",AC168)),"验证不确定",IF(ISNUMBER(SEARCH(":0",AC168)),"接口未能检测",IF(ISNUMBER(SEARCH(":2",AC168)),"判定无效",IF(V168&lt;&gt;"","官网已确认-未验证","无邮箱")))))</x:f>
        <x:v>接口未能检测</x:v>
      </x:c>
      <x:c r="I168" s="30" t="str">
        <x:v>+1 817-416-6240</x:v>
      </x:c>
      <x:c r="J168" s="30" t="str"/>
      <x:c r="K168" s="35" t="n">
        <x:f>ROUND((IF(H168="已验证有效",40,IF(V168&lt;&gt;"",20,0))+IF(ISNUMBER(SEARCH("状态1",Y168)),25,0)+IF(J168&lt;&gt;"",20,0)+IF(AA168&lt;&gt;"",15,0))/100,2)</x:f>
        <x:v>0.25</x:v>
      </x:c>
      <x:c r="L168" s="30" t="str">
        <x:v>待联系</x:v>
      </x:c>
      <x:c r="M168" s="30" t="str"/>
      <x:c r="N168" s="30" t="str">
        <x:v>Miami, Florida</x:v>
      </x:c>
      <x:c r="O168" s="30" t="str"/>
      <x:c r="P168" s="30" t="str">
        <x:v>暂无经营范围信息</x:v>
      </x:c>
      <x:c r="Q168" s="32" t="n">
        <x:v>17</x:v>
      </x:c>
      <x:c r="R168" s="32" t="n">
        <x:v>425093</x:v>
      </x:c>
      <x:c r="S168" s="33" t="n">
        <x:v>0</x:v>
      </x:c>
      <x:c r="T168" s="34" t="n">
        <x:v>45860.666666666664</x:v>
      </x:c>
      <x:c r="U168" s="30" t="str">
        <x:v>kathleen.sharp@chrobinson.com; richard@chrobinson.com</x:v>
      </x:c>
      <x:c r="V168" s="30" t="str"/>
      <x:c r="W168" s="30" t="str">
        <x:v>12489489490; 18003237587; +1 817-416-6240; 19567127300; 2489489430; 2813136000; 3105157788; 3107636080; 7818388980; 8174162251; 8174166240; 8652466900; 8652466920; 8652466950; 9543423630</x:v>
      </x:c>
      <x:c r="X168" s="30" t="str"/>
      <x:c r="Y168" s="30" t="str">
        <x:v>12489489490:状态2/类型0/WhatsApp2; 18003237587:状态2/类型0/WhatsApp2; +1 817-416-6240:状态1/类型3/WhatsApp2; 19567127300:状态2/类型0/WhatsApp2; 2489489430:状态2/类型0/WhatsApp0; 2813136000:状态2/类型0/WhatsApp0; 3105157788:状态2/类型0/WhatsApp2; 3107636080:状态2/类型0/WhatsApp0; 7818388980:状态2/类型0/WhatsApp0; 8174162251:状态2/类型0/WhatsApp2; 8174166240:状态2/类型0/WhatsApp0; 8652466900:状态2/类型0/WhatsApp0; 8652466920:状态2/类型0/WhatsApp2; 8652466950:状态2/类型0/WhatsApp0; 9543423630:状态2/类型0/WhatsApp2</x:v>
      </x:c>
      <x:c r="Z168" s="30" t="str"/>
      <x:c r="AA168" s="30" t="str"/>
      <x:c r="AB168" s="30" t="str"/>
      <x:c r="AC168" s="30" t="str">
        <x:v>kathleen.sharp@chrobinson.com:0; richard@chrobinson.com:0</x:v>
      </x:c>
      <x:c r="AD168" s="30" t="str">
        <x:v>Buckets；Pails；Footrest Bracket；Drinking Dispensing Equipment；Skillet；油漆刷；Faucets and Faucet Parts</x:v>
      </x:c>
      <x:c r="AE168" s="30" t="str">
        <x:v>Buckets；Pails；Plastics；Footrest；Bracket；Drinking Dispenser；Skillet；油漆刷；Faucets</x:v>
      </x:c>
      <x:c r="AF168" s="30" t="str">
        <x:v>BUCKETS AND PAILS, OF PLASTICS , NESOI TERMI; FOOTREST BRACKET-MACHINED DRINKING DISPENSING EQUIPMENT KHQ 8 SKILLET ENAM CAST NS (BLACK) PAINT BRUSH FAUCETS AND FAUCET PARTS ...</x:v>
      </x:c>
      <x:c r="AG168" s="30" t="str">
        <x:v>塑料桶；塑料桶；Storage bucket；Storage pail；Container；Footrest Support；Drink Dispenser；Frying Pan；Paint Roller；Tap</x:v>
      </x:c>
      <x:c r="AH168" s="30" t="str">
        <x:v>塑料树脂；聚合物；添加剂；Plastic granules；Plastic raw materials；金属；塑料；Ceramic；Wood；橡胶</x:v>
      </x:c>
      <x:c r="AI168" s="30" t="str">
        <x:v>施工现场；Gardening；Household cleaning；Industrial storage；Food storage；Furniture；Kitchen Appliances；建筑施工；Automotive；Home Decor</x:v>
      </x:c>
      <x:c r="AJ168" s="30" t="str">
        <x:v>塑料桶；油漆刷</x:v>
      </x:c>
      <x:c r="AK168" s="30" t="str">
        <x:v>expansion-search-plastic-pail-page-01; expansion-search-paint-brush-page-01</x:v>
      </x:c>
      <x:c r="AL168" s="30" t="str">
        <x:v>UpKuajing customs company contact API</x:v>
      </x:c>
      <x:c r="AM168" s="30" t="str"/>
      <x:c r="AN168" s="30" t="str"/>
      <x:c r="AO168" s="34" t="n">
        <x:v>46220</x:v>
      </x:c>
    </x:row>
    <x:row r="169" ht="44" customHeight="1">
      <x:c r="A169" s="30" t="str">
        <x:v>API联系方式已获取</x:v>
      </x:c>
      <x:c r="B169" s="30" t="str">
        <x:v>常规-全球</x:v>
      </x:c>
      <x:c r="C169" s="30" t="str">
        <x:v>刷子</x:v>
      </x:c>
      <x:c r="D169" s="31" t="str">
        <x:v>20453210</x:v>
      </x:c>
      <x:c r="E169" s="30" t="str">
        <x:v>GRUPO COMERCIAL ALCO SA DE CV</x:v>
      </x:c>
      <x:c r="F169" s="30" t="str">
        <x:v>墨西哥</x:v>
      </x:c>
      <x:c r="G169" s="30" t="str">
        <x:v>falonso@galco.com.mx</x:v>
      </x:c>
      <x:c r="H169" s="30" t="str">
        <x:f>IF(ISNUMBER(SEARCH(":1",AC169)),"已验证有效",IF(ISNUMBER(SEARCH(":3",AC169)),"验证不确定",IF(ISNUMBER(SEARCH(":0",AC169)),"接口未能检测",IF(ISNUMBER(SEARCH(":2",AC169)),"判定无效",IF(V169&lt;&gt;"","官网已确认-未验证","无邮箱")))))</x:f>
        <x:v>接口未能检测</x:v>
      </x:c>
      <x:c r="I169" s="30" t="str">
        <x:v>+52 871 750 6044</x:v>
      </x:c>
      <x:c r="J169" s="30" t="str">
        <x:v>www.galco.com.mx</x:v>
      </x:c>
      <x:c r="K169" s="35" t="n">
        <x:f>ROUND((IF(H169="已验证有效",40,IF(V169&lt;&gt;"",20,0))+IF(ISNUMBER(SEARCH("状态1",Y169)),25,0)+IF(J169&lt;&gt;"",20,0)+IF(AA169&lt;&gt;"",15,0))/100,2)</x:f>
        <x:v>0.45</x:v>
      </x:c>
      <x:c r="L169" s="30" t="str">
        <x:v>待联系</x:v>
      </x:c>
      <x:c r="M169" s="30" t="str"/>
      <x:c r="N169" s="30" t="str">
        <x:v>CALLE CIRCUITO ENRIQUE DE LARA 242</x:v>
      </x:c>
      <x:c r="O169" s="30" t="str"/>
      <x:c r="P169" s="30" t="str">
        <x:v>家居用品及其他相关产品</x:v>
      </x:c>
      <x:c r="Q169" s="32" t="n">
        <x:v>17</x:v>
      </x:c>
      <x:c r="R169" s="32" t="n">
        <x:v>623</x:v>
      </x:c>
      <x:c r="S169" s="33" t="n">
        <x:v>0.0273</x:v>
      </x:c>
      <x:c r="T169" s="34" t="n">
        <x:v>45672.666666666664</x:v>
      </x:c>
      <x:c r="U169" s="30" t="str">
        <x:v>falonso@galco.com.mx</x:v>
      </x:c>
      <x:c r="V169" s="30" t="str"/>
      <x:c r="W169" s="30" t="str">
        <x:v>+52 871 750 6044</x:v>
      </x:c>
      <x:c r="X169" s="30" t="str"/>
      <x:c r="Y169" s="30" t="str">
        <x:v>+52 871 750 6044:状态1/类型3/WhatsApp2</x:v>
      </x:c>
      <x:c r="Z169" s="30" t="str"/>
      <x:c r="AA169" s="30" t="str"/>
      <x:c r="AB169" s="30" t="str"/>
      <x:c r="AC169" s="30" t="str">
        <x:v>falonso@galco.com.mx:0</x:v>
      </x:c>
      <x:c r="AD169" s="30" t="str">
        <x:v>Knitted fabric</x:v>
      </x:c>
      <x:c r="AE169" s="30" t="str">
        <x:v>Knitted fabric；Polyester；Spandex；Blue shadow</x:v>
      </x:c>
      <x:c r="AF169" s="30" t="str">
        <x:v>TEJIDO DE PUNTO TEBIDO 95% POLIESTER 5% SPANDEX BRUSH LISO BLUE SHADOW</x:v>
      </x:c>
      <x:c r="AG169" s="30" t="str">
        <x:v>Knitted textile；Polyester - spandex fabric；Brushed fabric；Blue knitted cloth；Shadow - colored fabric</x:v>
      </x:c>
      <x:c r="AH169" s="30" t="str">
        <x:v>Polyester fiber；Spandex fiber；Chemical raw materials；Textile yarn；Dye</x:v>
      </x:c>
      <x:c r="AI169" s="30" t="str">
        <x:v>T - shirts；Swimsuits；Underwear；Sweaters；Activewear</x:v>
      </x:c>
      <x:c r="AJ169" s="30" t="str">
        <x:v>刷子</x:v>
      </x:c>
      <x:c r="AK169" s="30" t="str">
        <x:v>expansion-search-brush-page-08; expansion-search-brush-page-09</x:v>
      </x:c>
      <x:c r="AL169" s="30" t="str">
        <x:v>UpKuajing customs company contact API</x:v>
      </x:c>
      <x:c r="AM169" s="30" t="str"/>
      <x:c r="AN169" s="30" t="str"/>
      <x:c r="AO169" s="34" t="n">
        <x:v>46220</x:v>
      </x:c>
    </x:row>
    <x:row r="170" ht="44" customHeight="1">
      <x:c r="A170" s="30" t="str">
        <x:v>API联系方式已获取</x:v>
      </x:c>
      <x:c r="B170" s="30" t="str">
        <x:v>常规-全球</x:v>
      </x:c>
      <x:c r="C170" s="30" t="str">
        <x:v>遮蔽膜</x:v>
      </x:c>
      <x:c r="D170" s="31" t="str">
        <x:v>20208403</x:v>
      </x:c>
      <x:c r="E170" s="30" t="str">
        <x:v>AIR WORKS INDIA (ENGINEERING)PVT LTD</x:v>
      </x:c>
      <x:c r="F170" s="30" t="str">
        <x:v>印度</x:v>
      </x:c>
      <x:c r="G170" s="30" t="str">
        <x:v>deepak.goyal@airworks.in</x:v>
      </x:c>
      <x:c r="H170" s="30" t="str">
        <x:f>IF(ISNUMBER(SEARCH(":1",AC170)),"已验证有效",IF(ISNUMBER(SEARCH(":3",AC170)),"验证不确定",IF(ISNUMBER(SEARCH(":0",AC170)),"接口未能检测",IF(ISNUMBER(SEARCH(":2",AC170)),"判定无效",IF(V170&lt;&gt;"","官网已确认-未验证","无邮箱")))))</x:f>
        <x:v>已验证有效</x:v>
      </x:c>
      <x:c r="I170" s="30" t="str">
        <x:v>+91 124 464 2200</x:v>
      </x:c>
      <x:c r="J170" s="30" t="str">
        <x:v>www.airworks.in</x:v>
      </x:c>
      <x:c r="K170" s="35" t="n">
        <x:f>ROUND((IF(H170="已验证有效",40,IF(V170&lt;&gt;"",20,0))+IF(ISNUMBER(SEARCH("状态1",Y170)),25,0)+IF(J170&lt;&gt;"",20,0)+IF(AA170&lt;&gt;"",15,0))/100,2)</x:f>
        <x:v>1</x:v>
      </x:c>
      <x:c r="L170" s="30" t="str">
        <x:v>待联系</x:v>
      </x:c>
      <x:c r="M170" s="30" t="str"/>
      <x:c r="N170" s="30" t="str">
        <x:v>BOMBAY INTERNATIONAL AIR PORTGATE NO 8 SANTACRUZ E</x:v>
      </x:c>
      <x:c r="O170" s="30" t="str"/>
      <x:c r="P170" s="30" t="str">
        <x:v>提供飞机管理、公务和通用航空维护维修运行、商业航空维护维修运行以及航电升级和改造服务</x:v>
      </x:c>
      <x:c r="Q170" s="32" t="n">
        <x:v>16</x:v>
      </x:c>
      <x:c r="R170" s="32" t="n">
        <x:v>29811</x:v>
      </x:c>
      <x:c r="S170" s="33" t="n">
        <x:v>0.0005</x:v>
      </x:c>
      <x:c r="T170" s="34" t="n">
        <x:v>45845.666666666664</x:v>
      </x:c>
      <x:c r="U170" s="30" t="str">
        <x:v>deepak.goyal@airworks.in</x:v>
      </x:c>
      <x:c r="V170" s="30" t="str"/>
      <x:c r="W170" s="30" t="str">
        <x:v>+91 124 464 2200</x:v>
      </x:c>
      <x:c r="X170" s="30" t="str"/>
      <x:c r="Y170" s="30" t="str">
        <x:v>+91 124 464 2200:状态1/类型1/WhatsApp2</x:v>
      </x:c>
      <x:c r="Z170" s="30" t="str"/>
      <x:c r="AA170" s="30" t="str">
        <x:v>https://www.facebook.com/AirworksIndiaenggPvtLtd; https://www.linkedin.com/company/air-works</x:v>
      </x:c>
      <x:c r="AB170" s="30" t="str"/>
      <x:c r="AC170" s="30" t="str">
        <x:v>deepak.goyal@airworks.in:1</x:v>
      </x:c>
      <x:c r="AD170" s="30" t="str">
        <x:v>遮蔽膜</x:v>
      </x:c>
      <x:c r="AE170" s="30" t="str">
        <x:v>遮蔽膜；航空用途；Blue</x:v>
      </x:c>
      <x:c r="AF170" s="30" t="str">
        <x:v>WTE-MF-17-G Masking Film- 6m x 100m x 17mu Blue(Carton:-98cmx 15 x 15 - Per Roll)(FOR AIRCRAFT USE)(ACTUAL USE)18 ROLLSWTE-MF-17-G Masking Film- 6m x 100m x 17mu Blue(Carton:-98cm</x:v>
      </x:c>
      <x:c r="AG170" s="30" t="str">
        <x:v>涂装遮蔽胶带；保护膜；覆盖膜；表面保护膜；临时遮蔽膜</x:v>
      </x:c>
      <x:c r="AH170" s="30" t="str">
        <x:v>塑料树脂；聚合物；添加剂；颜料；胶粘剂</x:v>
      </x:c>
      <x:c r="AI170" s="30" t="str">
        <x:v>飞机制造；飞机维护；汽车涂装；工业涂装；建筑涂装</x:v>
      </x:c>
      <x:c r="AJ170" s="30" t="str">
        <x:v>遮蔽膜</x:v>
      </x:c>
      <x:c r="AK170" s="30" t="str">
        <x:v>masking-film-buyers-exact-search</x:v>
      </x:c>
      <x:c r="AL170" s="30" t="str">
        <x:v>UpKuajing customs company contact API</x:v>
      </x:c>
      <x:c r="AM170" s="30" t="str"/>
      <x:c r="AN170" s="30" t="str"/>
      <x:c r="AO170" s="34" t="n">
        <x:v>46220</x:v>
      </x:c>
    </x:row>
    <x:row r="171" ht="44" customHeight="1">
      <x:c r="A171" s="30" t="str">
        <x:v>API联系方式已获取</x:v>
      </x:c>
      <x:c r="B171" s="30" t="str">
        <x:v>常规-全球</x:v>
      </x:c>
      <x:c r="C171" s="30" t="str">
        <x:v>刷子</x:v>
      </x:c>
      <x:c r="D171" s="31" t="str">
        <x:v>20451961</x:v>
      </x:c>
      <x:c r="E171" s="30" t="str">
        <x:v>DERCO CHILE REPUESTOS SPA</x:v>
      </x:c>
      <x:c r="F171" s="30" t="str">
        <x:v>智利</x:v>
      </x:c>
      <x:c r="G171" s="30" t="str">
        <x:v>dercoimportadora_dte@paperless.cl</x:v>
      </x:c>
      <x:c r="H171" s="30" t="str">
        <x:f>IF(ISNUMBER(SEARCH(":1",AC171)),"已验证有效",IF(ISNUMBER(SEARCH(":3",AC171)),"验证不确定",IF(ISNUMBER(SEARCH(":0",AC171)),"接口未能检测",IF(ISNUMBER(SEARCH(":2",AC171)),"判定无效",IF(V171&lt;&gt;"","官网已确认-未验证","无邮箱")))))</x:f>
        <x:v>已验证有效</x:v>
      </x:c>
      <x:c r="I171" s="30" t="str">
        <x:v>+56 9 9636 2369</x:v>
      </x:c>
      <x:c r="J171" s="30" t="str">
        <x:v>www.mazda.cl</x:v>
      </x:c>
      <x:c r="K171" s="35" t="n">
        <x:f>ROUND((IF(H171="已验证有效",40,IF(V171&lt;&gt;"",20,0))+IF(ISNUMBER(SEARCH("状态1",Y171)),25,0)+IF(J171&lt;&gt;"",20,0)+IF(AA171&lt;&gt;"",15,0))/100,2)</x:f>
        <x:v>1</x:v>
      </x:c>
      <x:c r="L171" s="30" t="str">
        <x:v>待联系</x:v>
      </x:c>
      <x:c r="M171" s="30" t="str"/>
      <x:c r="N171" s="30" t="str">
        <x:v>AVENIDA AMERICO VESPUCIO 1842 , QUILICURA</x:v>
      </x:c>
      <x:c r="O171" s="30" t="str"/>
      <x:c r="P171" s="30" t="str">
        <x:v>汽车、卡车、货车和小型货车以及运动型多用途汽车（运动型多用途车）</x:v>
      </x:c>
      <x:c r="Q171" s="32" t="n">
        <x:v>16</x:v>
      </x:c>
      <x:c r="R171" s="32" t="n">
        <x:v>56546</x:v>
      </x:c>
      <x:c r="S171" s="33" t="n">
        <x:v>0.0003</x:v>
      </x:c>
      <x:c r="T171" s="34" t="n">
        <x:v>45839.666666666664</x:v>
      </x:c>
      <x:c r="U171" s="30" t="str">
        <x:v>dercoimportadora_dte@paperless.cl</x:v>
      </x:c>
      <x:c r="V171" s="30" t="str"/>
      <x:c r="W171" s="30" t="str">
        <x:v>+56 9 9636 2369</x:v>
      </x:c>
      <x:c r="X171" s="30" t="str"/>
      <x:c r="Y171" s="30" t="str">
        <x:v>+56 9 9636 2369:状态1/类型3/WhatsApp2</x:v>
      </x:c>
      <x:c r="Z171" s="30" t="str"/>
      <x:c r="AA171" s="30" t="str">
        <x:v>https://www.facebook.com/MazdaChile; https://www.instagram.com/mazdachile; https://twitter.com/mazdachile?lang=es; https://www.youtube.com/user/mazdachile</x:v>
      </x:c>
      <x:c r="AB171" s="30" t="str"/>
      <x:c r="AC171" s="30" t="str">
        <x:v>dercoimportadora_dte@paperless.cl:1</x:v>
      </x:c>
      <x:c r="AD171" s="30" t="str">
        <x:v>Hiking Brush；Windshield Cleaner；Mechanical Broom；Manual Brush；Duster</x:v>
      </x:c>
      <x:c r="AE171" s="30" t="str">
        <x:v>Hiking；Windshield Cleaner；Mechanical Broom；Manual Brush；Duster</x:v>
      </x:c>
      <x:c r="AF171" s="30" t="str">
        <x:v>CEPILLOHIKING IMP &amp; EXP -FLIMPIA PARABRISASPARA USO AUTOMOTRIZ ESCOBAS MECANICAS USO MANUAL, PINCELES Y PLUMEROS</x:v>
      </x:c>
      <x:c r="AG171" s="30" t="str">
        <x:v>Hiking Cleaning Brush；Automotive Windshield Cleaner；Mechanical Cleaning Broom；Manual Cleaning Brush；Dusting Tool</x:v>
      </x:c>
      <x:c r="AH171" s="30" t="str">
        <x:v>塑料；Wood；Bristles；金属；Fiber</x:v>
      </x:c>
      <x:c r="AI171" s="30" t="str">
        <x:v>Automotive Industry；Outdoor Activities；Household Cleaning；Workshops；Gardening</x:v>
      </x:c>
      <x:c r="AJ171" s="30" t="str">
        <x:v>刷子</x:v>
      </x:c>
      <x:c r="AK171" s="30" t="str">
        <x:v>expansion-search-brush-page-08</x:v>
      </x:c>
      <x:c r="AL171" s="30" t="str">
        <x:v>UpKuajing customs company contact API</x:v>
      </x:c>
      <x:c r="AM171" s="30" t="str"/>
      <x:c r="AN171" s="30" t="str"/>
      <x:c r="AO171" s="34" t="n">
        <x:v>46220</x:v>
      </x:c>
    </x:row>
    <x:row r="172" ht="44" customHeight="1">
      <x:c r="A172" s="30" t="str">
        <x:v>API联系方式已获取</x:v>
      </x:c>
      <x:c r="B172" s="30" t="str">
        <x:v>常规-全球</x:v>
      </x:c>
      <x:c r="C172" s="30" t="str">
        <x:v>刷子</x:v>
      </x:c>
      <x:c r="D172" s="31" t="str">
        <x:v>20428101</x:v>
      </x:c>
      <x:c r="E172" s="30" t="str">
        <x:v>AUTOGERMANA S A S</x:v>
      </x:c>
      <x:c r="F172" s="30" t="str">
        <x:v>哥伦比亚</x:v>
      </x:c>
      <x:c r="G172" s="30" t="str">
        <x:v>andres.fuse@autogermana.com.co</x:v>
      </x:c>
      <x:c r="H172" s="30" t="str">
        <x:f>IF(ISNUMBER(SEARCH(":1",AC172)),"已验证有效",IF(ISNUMBER(SEARCH(":3",AC172)),"验证不确定",IF(ISNUMBER(SEARCH(":0",AC172)),"接口未能检测",IF(ISNUMBER(SEARCH(":2",AC172)),"判定无效",IF(V172&lt;&gt;"","官网已确认-未验证","无邮箱")))))</x:f>
        <x:v>已验证有效</x:v>
      </x:c>
      <x:c r="I172" s="30" t="str">
        <x:v>5712573713</x:v>
      </x:c>
      <x:c r="J172" s="30" t="str">
        <x:v>www.bmw.com.co</x:v>
      </x:c>
      <x:c r="K172" s="35" t="n">
        <x:f>ROUND((IF(H172="已验证有效",40,IF(V172&lt;&gt;"",20,0))+IF(ISNUMBER(SEARCH("状态1",Y172)),25,0)+IF(J172&lt;&gt;"",20,0)+IF(AA172&lt;&gt;"",15,0))/100,2)</x:f>
        <x:v>0.75</x:v>
      </x:c>
      <x:c r="L172" s="30" t="str">
        <x:v>待联系</x:v>
      </x:c>
      <x:c r="M172" s="30" t="str"/>
      <x:c r="N172" s="30" t="str">
        <x:v>197 35, CARRERA 45</x:v>
      </x:c>
      <x:c r="O172" s="30" t="str"/>
      <x:c r="P172" s="30" t="str">
        <x:v>新车和二手汽车和轻型卡车，例如运动型多用途车、客货车和货车；机动车辆用品、轮胎、新旧零件及其配件、工具和设备；提供维修和保养服务</x:v>
      </x:c>
      <x:c r="Q172" s="32" t="n">
        <x:v>15</x:v>
      </x:c>
      <x:c r="R172" s="32" t="n">
        <x:v>104980</x:v>
      </x:c>
      <x:c r="S172" s="33" t="n">
        <x:v>0.0001</x:v>
      </x:c>
      <x:c r="T172" s="34" t="n">
        <x:v>45803.666666666664</x:v>
      </x:c>
      <x:c r="U172" s="30" t="str">
        <x:v>andres.fuse@autogermana.com.co</x:v>
      </x:c>
      <x:c r="V172" s="30" t="str"/>
      <x:c r="W172" s="30" t="str">
        <x:v>5712573713; 5713170060; 5714464900; 5716167753; 5716578080; 57231269323436; 5723211242; 5742320232; 5742329086; 5753670150; 5763400091; 5763400563; 5766474737; 5782770580</x:v>
      </x:c>
      <x:c r="X172" s="30" t="str"/>
      <x:c r="Y172" s="30" t="str">
        <x:v>5712573713:状态2/类型0/WhatsApp2; 5713170060:状态2/类型0/WhatsApp2; 5714464900:状态2/类型0/WhatsApp2; 5716167753:状态2/类型0/WhatsApp2; 5716578080:状态2/类型0/WhatsApp2; 57231269323436:状态2/类型0/WhatsApp2; 5723211242:状态2/类型0/WhatsApp2; 5742320232:状态2/类型0/WhatsApp2; 5742329086:状态2/类型0/WhatsApp2; 5753670150:状态2/类型0/WhatsApp2; 5763400091:状态2/类型0/WhatsApp2; 5763400563:状态2/类型0/WhatsApp2; 5766474737:状态2/类型0/WhatsApp2; 5782770580:状态2/类型0/WhatsApp2</x:v>
      </x:c>
      <x:c r="Z172" s="30" t="str"/>
      <x:c r="AA172" s="30" t="str">
        <x:v>https://www.facebook.com/BMW.Colombia; https://www.instagram.com/bmw.colombia; https://www.instagram.com/bmw.colombia?igshid=YmMyMTA2M2Y=; https://twitter.com/bmwcolombia?ref_src=twsrc%5Egoogle%7Ctwcamp%5Eserp%7Ctwgr%5Eauthor; https://www.youtube.com/channel/UCyREd5zP3yP_zEslhzRaomQ</x:v>
      </x:c>
      <x:c r="AB172" s="30" t="str"/>
      <x:c r="AC172" s="30" t="str">
        <x:v>andres.fuse@autogermana.com.co:1</x:v>
      </x:c>
      <x:c r="AD172" s="30" t="str">
        <x:v>Brush Set</x:v>
      </x:c>
      <x:c r="AE172" s="30" t="str">
        <x:v>Brush Set</x:v>
      </x:c>
      <x:c r="AF172" s="30" t="str">
        <x:v>DO: 41MDE0525103, DECLARACI N: 15 20; A1771907 EMPRESA DE TRANSPORTE AEROLINEA DEL CARIBE S.A. DEPOSITO ADUANERO DESCARGA COLOMBIA, KM 1 VIA SIBERIA-FUNZA BODEGA 30, ZONA FRANCA PERMANENTE INTEXZONA.; PRODUCTO: JUEGO DE ESCOBILLAS, MARCA COMERCIAL: SI...</x:v>
      </x:c>
      <x:c r="AG172" s="30" t="str">
        <x:v>Brush Kit；Set of Brushes；Brush Collection；Brush Bundle；Brush Assortment</x:v>
      </x:c>
      <x:c r="AH172" s="30" t="str">
        <x:v>塑料；金属；Bristles；Wood；Fiber</x:v>
      </x:c>
      <x:c r="AI172" s="30" t="str">
        <x:v>Household Cleaning；Industrial Cleaning；Automotive Cleaning；Art and Craft；Gardening</x:v>
      </x:c>
      <x:c r="AJ172" s="30" t="str">
        <x:v>刷子</x:v>
      </x:c>
      <x:c r="AK172" s="30" t="str">
        <x:v>expansion-search-brush-page-02; expansion-search-brush-page-03</x:v>
      </x:c>
      <x:c r="AL172" s="30" t="str">
        <x:v>UpKuajing customs company contact API</x:v>
      </x:c>
      <x:c r="AM172" s="30" t="str"/>
      <x:c r="AN172" s="30" t="str"/>
      <x:c r="AO172" s="34" t="n">
        <x:v>46220</x:v>
      </x:c>
    </x:row>
    <x:row r="173" ht="44" customHeight="1">
      <x:c r="A173" s="30" t="str">
        <x:v>API联系方式已获取</x:v>
      </x:c>
      <x:c r="B173" s="30" t="str">
        <x:v>常规-全球</x:v>
      </x:c>
      <x:c r="C173" s="30" t="str">
        <x:v>刷子</x:v>
      </x:c>
      <x:c r="D173" s="31" t="str">
        <x:v>20429512</x:v>
      </x:c>
      <x:c r="E173" s="30" t="str">
        <x:v>BOSTON SCIENTIFIC COLOMBIA LTDA</x:v>
      </x:c>
      <x:c r="F173" s="30" t="str">
        <x:v>哥伦比亚</x:v>
      </x:c>
      <x:c r="G173" s="30" t="str">
        <x:v>fernando.dussanmejia@bsci.com</x:v>
      </x:c>
      <x:c r="H173" s="30" t="str">
        <x:f>IF(ISNUMBER(SEARCH(":1",AC173)),"已验证有效",IF(ISNUMBER(SEARCH(":3",AC173)),"验证不确定",IF(ISNUMBER(SEARCH(":0",AC173)),"接口未能检测",IF(ISNUMBER(SEARCH(":2",AC173)),"判定无效",IF(V173&lt;&gt;"","官网已确认-未验证","无邮箱")))))</x:f>
        <x:v>已验证有效</x:v>
      </x:c>
      <x:c r="I173" s="30" t="str">
        <x:v>5716295045</x:v>
      </x:c>
      <x:c r="J173" s="30" t="str">
        <x:v>www.bostonscientific.com</x:v>
      </x:c>
      <x:c r="K173" s="35" t="n">
        <x:f>ROUND((IF(H173="已验证有效",40,IF(V173&lt;&gt;"",20,0))+IF(ISNUMBER(SEARCH("状态1",Y173)),25,0)+IF(J173&lt;&gt;"",20,0)+IF(AA173&lt;&gt;"",15,0))/100,2)</x:f>
        <x:v>0.75</x:v>
      </x:c>
      <x:c r="L173" s="30" t="str">
        <x:v>待联系</x:v>
      </x:c>
      <x:c r="M173" s="30" t="str"/>
      <x:c r="N173" s="30" t="str">
        <x:v>CALLE 113 7 45 TORRE B OFICINA 713</x:v>
      </x:c>
      <x:c r="O173" s="30" t="str"/>
      <x:c r="P173" s="30" t="str">
        <x:v>医疗用品（接入装置：扩张；接入装置：护套；抗后推；斑块切除系统；球囊：扩张和提取；束带结扎器；篮子；支气管热成形术；资本设备：诊断；资本设备：测绘和导航；资本设备：治疗；导管：消融；导管：球囊；导管：诊断；导管：引流；导管：引导；导管：测绘；：；&amp;；&amp;；去神经术；吊带；括约肌刺激器系统；支架：肺支架</x:v>
      </x:c>
      <x:c r="Q173" s="32" t="n">
        <x:v>15</x:v>
      </x:c>
      <x:c r="R173" s="32" t="n">
        <x:v>25202</x:v>
      </x:c>
      <x:c r="S173" s="33" t="n">
        <x:v>0.0006</x:v>
      </x:c>
      <x:c r="T173" s="34" t="n">
        <x:v>45652.666666666664</x:v>
      </x:c>
      <x:c r="U173" s="30" t="str">
        <x:v>fernando.dussanmejia@bsci.com</x:v>
      </x:c>
      <x:c r="V173" s="30" t="str"/>
      <x:c r="W173" s="30" t="str">
        <x:v>5716295045</x:v>
      </x:c>
      <x:c r="X173" s="30" t="str"/>
      <x:c r="Y173" s="30" t="str">
        <x:v>5716295045:状态2/类型0/WhatsApp2</x:v>
      </x:c>
      <x:c r="Z173" s="30" t="str"/>
      <x:c r="AA173" s="30" t="str">
        <x:v>https://www.facebook.com/BostonScientific; https://www.linkedin.com/company/boston-scientific; https://twitter.com/bostonsci</x:v>
      </x:c>
      <x:c r="AB173" s="30" t="str"/>
      <x:c r="AC173" s="30" t="str">
        <x:v>fernando.dussanmejia@bsci.com:1</x:v>
      </x:c>
      <x:c r="AD173" s="30" t="str">
        <x:v>Celebrity Cytol Brush</x:v>
      </x:c>
      <x:c r="AE173" s="30" t="str">
        <x:v>Cytology brush；Celebrity</x:v>
      </x:c>
      <x:c r="AF173" s="30" t="str">
        <x:v>DO-PEL.202412320 SUB-DO.25247166 PED. M572-24/007696753 DIM 8/53 BOSTONSCIENTIFIC COLOMBIA LIMITADA USUARIO ADUANERO CON TRAMITE SIMPLIFICADO UTS B00028; // (1 CJ) PRODUCTO. CELLEBRITY CYTOL BRSH 1.5/58/140(BX/10) /CEPILLO DE CITOLOGIA, CELLEBRITY. MAR...</x:v>
      </x:c>
      <x:c r="AG173" s="30" t="str">
        <x:v>Cytology brush；Cell sampling brush；Medical brush；Cytol brush；Sampling tool</x:v>
      </x:c>
      <x:c r="AH173" s="30" t="str">
        <x:v>塑料；金属；Synthetic fiber；Medical grade material；Brush handle material</x:v>
      </x:c>
      <x:c r="AI173" s="30" t="str">
        <x:v>Medical laboratory；Pathology department；Diagnostic center；Cancer screening；Medical research</x:v>
      </x:c>
      <x:c r="AJ173" s="30" t="str">
        <x:v>刷子</x:v>
      </x:c>
      <x:c r="AK173" s="30" t="str">
        <x:v>expansion-search-brush-page-03</x:v>
      </x:c>
      <x:c r="AL173" s="30" t="str">
        <x:v>UpKuajing customs company contact API</x:v>
      </x:c>
      <x:c r="AM173" s="30" t="str"/>
      <x:c r="AN173" s="30" t="str"/>
      <x:c r="AO173" s="34" t="n">
        <x:v>46220</x:v>
      </x:c>
    </x:row>
    <x:row r="174" ht="44" customHeight="1">
      <x:c r="A174" s="30" t="str">
        <x:v>API联系方式已获取</x:v>
      </x:c>
      <x:c r="B174" s="30" t="str">
        <x:v>常规-全球</x:v>
      </x:c>
      <x:c r="C174" s="30" t="str">
        <x:v>刷子</x:v>
      </x:c>
      <x:c r="D174" s="31" t="str">
        <x:v>20427347</x:v>
      </x:c>
      <x:c r="E174" s="30" t="str">
        <x:v>DURESPO S A</x:v>
      </x:c>
      <x:c r="F174" s="30" t="str">
        <x:v>哥伦比亚</x:v>
      </x:c>
      <x:c r="G174" s="30" t="str">
        <x:v>contador@durespo.com.co</x:v>
      </x:c>
      <x:c r="H174" s="30" t="str">
        <x:f>IF(ISNUMBER(SEARCH(":1",AC174)),"已验证有效",IF(ISNUMBER(SEARCH(":3",AC174)),"验证不确定",IF(ISNUMBER(SEARCH(":0",AC174)),"接口未能检测",IF(ISNUMBER(SEARCH(":2",AC174)),"判定无效",IF(V174&lt;&gt;"","官网已确认-未验证","无邮箱")))))</x:f>
        <x:v>已验证有效</x:v>
      </x:c>
      <x:c r="I174" s="30" t="str">
        <x:v>+57 310 4345271</x:v>
      </x:c>
      <x:c r="J174" s="30" t="str">
        <x:v>www.durespo.com.co</x:v>
      </x:c>
      <x:c r="K174" s="35" t="n">
        <x:f>ROUND((IF(H174="已验证有效",40,IF(V174&lt;&gt;"",20,0))+IF(ISNUMBER(SEARCH("状态1",Y174)),25,0)+IF(J174&lt;&gt;"",20,0)+IF(AA174&lt;&gt;"",15,0))/100,2)</x:f>
        <x:v>1</x:v>
      </x:c>
      <x:c r="L174" s="30" t="str">
        <x:v>待联系</x:v>
      </x:c>
      <x:c r="M174" s="30" t="str"/>
      <x:c r="N174" s="30" t="str">
        <x:v>29 97 IN 101, CARRERA 42</x:v>
      </x:c>
      <x:c r="O174" s="30" t="str"/>
      <x:c r="P174" s="30" t="str">
        <x:v>农业机械和设备，以及其他草坪和场地护理设备，包括种植、收割和割草设备</x:v>
      </x:c>
      <x:c r="Q174" s="32" t="n">
        <x:v>15</x:v>
      </x:c>
      <x:c r="R174" s="32" t="n">
        <x:v>13452</x:v>
      </x:c>
      <x:c r="S174" s="33" t="n">
        <x:v>0.0011</x:v>
      </x:c>
      <x:c r="T174" s="34" t="n">
        <x:v>45701.666666666664</x:v>
      </x:c>
      <x:c r="U174" s="30" t="str">
        <x:v>contador@durespo.com.co</x:v>
      </x:c>
      <x:c r="V174" s="30" t="str"/>
      <x:c r="W174" s="30" t="str">
        <x:v>+57 310 4345271</x:v>
      </x:c>
      <x:c r="X174" s="30" t="str"/>
      <x:c r="Y174" s="30" t="str">
        <x:v>+57 310 4345271:状态1/类型2/WhatsApp1</x:v>
      </x:c>
      <x:c r="Z174" s="30" t="str">
        <x:v>+57 310 4345271</x:v>
      </x:c>
      <x:c r="AA174" s="30" t="str">
        <x:v>https://www.facebook.com/durespo; https://www.instagram.com/durespo; https://twitter.com/durespo; https://www.youtube.com/user/Durespo</x:v>
      </x:c>
      <x:c r="AB174" s="30" t="str"/>
      <x:c r="AC174" s="30" t="str">
        <x:v>contador@durespo.com.co:1</x:v>
      </x:c>
      <x:c r="AD174" s="30" t="str">
        <x:v>刷子</x:v>
      </x:c>
      <x:c r="AE174" s="30" t="str">
        <x:v>刷子</x:v>
      </x:c>
      <x:c r="AF174" s="30" t="str">
        <x:v>DO 022025040179 DECLARACION(13-17) FACTURA: 2024-4992 FECHA: 2024-12-10 CANT (50) UNIDADES HJ2184E-42 BRUSH PRODUCTO: E</x:v>
      </x:c>
      <x:c r="AG174" s="30" t="str">
        <x:v>Broom；Scrubber；Duster；Sweeper；Polisher</x:v>
      </x:c>
      <x:c r="AH174" s="30" t="str">
        <x:v>Bristles；Handle；塑料；Wood；金属</x:v>
      </x:c>
      <x:c r="AI174" s="30" t="str">
        <x:v>Household cleaning；Industrial cleaning；Automotive cleaning；Office cleaning；Pet cleaning</x:v>
      </x:c>
      <x:c r="AJ174" s="30" t="str">
        <x:v>刷子</x:v>
      </x:c>
      <x:c r="AK174" s="30" t="str">
        <x:v>expansion-search-brush-page-02</x:v>
      </x:c>
      <x:c r="AL174" s="30" t="str">
        <x:v>UpKuajing customs company contact API</x:v>
      </x:c>
      <x:c r="AM174" s="30" t="str"/>
      <x:c r="AN174" s="30" t="str"/>
      <x:c r="AO174" s="34" t="n">
        <x:v>46220</x:v>
      </x:c>
    </x:row>
    <x:row r="175" ht="44" customHeight="1">
      <x:c r="A175" s="30" t="str">
        <x:v>API联系方式已获取</x:v>
      </x:c>
      <x:c r="B175" s="30" t="str">
        <x:v>常规-全球</x:v>
      </x:c>
      <x:c r="C175" s="30" t="str">
        <x:v>刷子</x:v>
      </x:c>
      <x:c r="D175" s="31" t="str">
        <x:v>20431034</x:v>
      </x:c>
      <x:c r="E175" s="30" t="str">
        <x:v>FRONIUS INDIA PRIVATE LIMITED</x:v>
      </x:c>
      <x:c r="F175" s="30" t="str">
        <x:v>印度</x:v>
      </x:c>
      <x:c r="G175" s="30" t="str">
        <x:v>cancellation@fronius.com</x:v>
      </x:c>
      <x:c r="H175" s="30" t="str">
        <x:f>IF(ISNUMBER(SEARCH(":1",AC175)),"已验证有效",IF(ISNUMBER(SEARCH(":3",AC175)),"验证不确定",IF(ISNUMBER(SEARCH(":0",AC175)),"接口未能检测",IF(ISNUMBER(SEARCH(":2",AC175)),"判定无效",IF(V175&lt;&gt;"","官网已确认-未验证","无邮箱")))))</x:f>
        <x:v>已验证有效</x:v>
      </x:c>
      <x:c r="I175" s="30" t="str">
        <x:v>+43 7242 2410</x:v>
      </x:c>
      <x:c r="J175" s="30" t="str">
        <x:v>fronius.com</x:v>
      </x:c>
      <x:c r="K175" s="35" t="n">
        <x:f>ROUND((IF(H175="已验证有效",40,IF(V175&lt;&gt;"",20,0))+IF(ISNUMBER(SEARCH("状态1",Y175)),25,0)+IF(J175&lt;&gt;"",20,0)+IF(AA175&lt;&gt;"",15,0))/100,2)</x:f>
        <x:v>1</x:v>
      </x:c>
      <x:c r="L175" s="30" t="str">
        <x:v>待联系</x:v>
      </x:c>
      <x:c r="M175" s="30" t="str"/>
      <x:c r="N175" s="30" t="str">
        <x:v>PLOT NO. 71/2/B , PIMPRI INDUSTRIAL AREA , MIDC BHOSARI</x:v>
      </x:c>
      <x:c r="O175" s="30" t="str"/>
      <x:c r="P175" s="30" t="str">
        <x:v>暂无经营范围信息</x:v>
      </x:c>
      <x:c r="Q175" s="32" t="n">
        <x:v>14</x:v>
      </x:c>
      <x:c r="R175" s="32" t="n">
        <x:v>63941</x:v>
      </x:c>
      <x:c r="S175" s="33" t="n">
        <x:v>0.0002</x:v>
      </x:c>
      <x:c r="T175" s="34" t="n">
        <x:v>45825.666666666664</x:v>
      </x:c>
      <x:c r="U175" s="30" t="str">
        <x:v>cancellation@fronius.com; contact@fronius.com; finance-india@fronius.com; mailto:contact@fronius.com; pc-service@fronius.com; pc-support@fronius.com; perfect.charging@fronius.com; schartner.andrea@fronius.com</x:v>
      </x:c>
      <x:c r="V175" s="30" t="str"/>
      <x:c r="W175" s="30" t="str">
        <x:v>+43 7242 2410; +43 7242 2413000; +91 73910 95777</x:v>
      </x:c>
      <x:c r="X175" s="30" t="str"/>
      <x:c r="Y175" s="30" t="str">
        <x:v>+43 7242 2410:状态1/类型1/WhatsApp2; +43 7242 2413000:状态1/类型1/WhatsApp2; +91 73910 95777:状态1/类型2/WhatsApp1</x:v>
      </x:c>
      <x:c r="Z175" s="30" t="str">
        <x:v>+91 73910 95777</x:v>
      </x:c>
      <x:c r="AA175" s="30" t="str">
        <x:v>https://www.facebook.com/fronius.int; https://www.instagram.com/froniusinternational; https://www.linkedin.com/company/fronius-international-gmbh; https://www.youtube.com/user/FroniusInternational</x:v>
      </x:c>
      <x:c r="AB175" s="30" t="str"/>
      <x:c r="AC175" s="30" t="str">
        <x:v>cancellation@fronius.com:1; contact@fronius.com:1; finance-india@fronius.com:1; mailto:contact@fronius.com:0; pc-service@fronius.com:1; pc-support@fronius.com:1; perfect.charging@fronius.com:1; schartner.andrea@fronius.com:1</x:v>
      </x:c>
      <x:c r="AD175" s="30" t="str"/>
      <x:c r="AE175" s="30" t="str"/>
      <x:c r="AF175" s="30" t="str">
        <x:v>CARBON BRUSH MC 150(5 PCS PER SET) 5PCS 42,0510,0510 (3 PK) CARBON BRUSH MC 150(5 PCS PER SET) 5PCS 42,0510,0510 (3 PK)</x:v>
      </x:c>
      <x:c r="AG175" s="30" t="str"/>
      <x:c r="AH175" s="30" t="str"/>
      <x:c r="AI175" s="30" t="str"/>
      <x:c r="AJ175" s="30" t="str">
        <x:v>刷子</x:v>
      </x:c>
      <x:c r="AK175" s="30" t="str">
        <x:v>expansion-search-brush-page-04</x:v>
      </x:c>
      <x:c r="AL175" s="30" t="str">
        <x:v>UpKuajing customs company contact API</x:v>
      </x:c>
      <x:c r="AM175" s="30" t="str"/>
      <x:c r="AN175" s="30" t="str"/>
      <x:c r="AO175" s="34" t="n">
        <x:v>46220</x:v>
      </x:c>
    </x:row>
    <x:row r="176" ht="44" customHeight="1">
      <x:c r="A176" s="30" t="str">
        <x:v>API联系方式已获取</x:v>
      </x:c>
      <x:c r="B176" s="30" t="str">
        <x:v>常规-全球</x:v>
      </x:c>
      <x:c r="C176" s="30" t="str">
        <x:v>刷子</x:v>
      </x:c>
      <x:c r="D176" s="31" t="str">
        <x:v>20432253</x:v>
      </x:c>
      <x:c r="E176" s="30" t="str">
        <x:v>JAY JAY MILLS INDIA PRIVATE LIMITED</x:v>
      </x:c>
      <x:c r="F176" s="30" t="str">
        <x:v>印度</x:v>
      </x:c>
      <x:c r="G176" s="30" t="str">
        <x:v>mmanikandan@jayjaymills.in</x:v>
      </x:c>
      <x:c r="H176" s="30" t="str">
        <x:f>IF(ISNUMBER(SEARCH(":1",AC176)),"已验证有效",IF(ISNUMBER(SEARCH(":3",AC176)),"验证不确定",IF(ISNUMBER(SEARCH(":0",AC176)),"接口未能检测",IF(ISNUMBER(SEARCH(":2",AC176)),"判定无效",IF(V176&lt;&gt;"","官网已确认-未验证","无邮箱")))))</x:f>
        <x:v>已验证有效</x:v>
      </x:c>
      <x:c r="I176" s="30" t="str">
        <x:v>+91 421 433 5500</x:v>
      </x:c>
      <x:c r="J176" s="30" t="str">
        <x:v>www.jayjaymills.com</x:v>
      </x:c>
      <x:c r="K176" s="35" t="n">
        <x:f>ROUND((IF(H176="已验证有效",40,IF(V176&lt;&gt;"",20,0))+IF(ISNUMBER(SEARCH("状态1",Y176)),25,0)+IF(J176&lt;&gt;"",20,0)+IF(AA176&lt;&gt;"",15,0))/100,2)</x:f>
        <x:v>0.85</x:v>
      </x:c>
      <x:c r="L176" s="30" t="str">
        <x:v>待联系</x:v>
      </x:c>
      <x:c r="M176" s="30" t="str"/>
      <x:c r="N176" s="30" t="str">
        <x:v>10, K.V. P. LAYOUT , ALANGADU, KARUVAMPALAYAM</x:v>
      </x:c>
      <x:c r="O176" s="30" t="str"/>
      <x:c r="P176" s="30" t="str">
        <x:v>棉针织品（连体衣；睡衣；帽子、手套和靴子；毛毯；围兜；连帽毛巾、面巾；摇篮/摇篮/婴儿床/婴儿床床笠；恤；保暖睡衣；以及秋裤（睡衣套装））</x:v>
      </x:c>
      <x:c r="Q176" s="32" t="n">
        <x:v>13</x:v>
      </x:c>
      <x:c r="R176" s="32" t="n">
        <x:v>9638</x:v>
      </x:c>
      <x:c r="S176" s="33" t="n">
        <x:v>0.0013</x:v>
      </x:c>
      <x:c r="T176" s="34" t="n">
        <x:v>45824.666666666664</x:v>
      </x:c>
      <x:c r="U176" s="30" t="str">
        <x:v>mmanikandan@jayjaymills.in</x:v>
      </x:c>
      <x:c r="V176" s="30" t="str"/>
      <x:c r="W176" s="30" t="str">
        <x:v>+91 421 433 5500</x:v>
      </x:c>
      <x:c r="X176" s="30" t="str"/>
      <x:c r="Y176" s="30" t="str">
        <x:v>+91 421 433 5500:状态1/类型1/WhatsApp2</x:v>
      </x:c>
      <x:c r="Z176" s="30" t="str"/>
      <x:c r="AA176" s="30" t="str"/>
      <x:c r="AB176" s="30" t="str"/>
      <x:c r="AC176" s="30" t="str">
        <x:v>mmanikandan@jayjaymills.in:1</x:v>
      </x:c>
      <x:c r="AD176" s="30" t="str"/>
      <x:c r="AE176" s="30" t="str"/>
      <x:c r="AF176" s="30" t="str">
        <x:v>NT300110 BRUSH 1018 - SPARE PARTS FOR STRIPPING MACHINE (NOVAJET 3500)NT300110 BRUSH 1018 - SPARE PARTS FOR STRIPPING MACHINE (NOV</x:v>
      </x:c>
      <x:c r="AG176" s="30" t="str"/>
      <x:c r="AH176" s="30" t="str"/>
      <x:c r="AI176" s="30" t="str"/>
      <x:c r="AJ176" s="30" t="str">
        <x:v>刷子</x:v>
      </x:c>
      <x:c r="AK176" s="30" t="str">
        <x:v>expansion-search-brush-page-04; expansion-search-brush-page-05</x:v>
      </x:c>
      <x:c r="AL176" s="30" t="str">
        <x:v>UpKuajing customs company contact API</x:v>
      </x:c>
      <x:c r="AM176" s="30" t="str"/>
      <x:c r="AN176" s="30" t="str"/>
      <x:c r="AO176" s="34" t="n">
        <x:v>46220</x:v>
      </x:c>
    </x:row>
    <x:row r="177" ht="44" customHeight="1">
      <x:c r="A177" s="30" t="str">
        <x:v>API联系方式已获取</x:v>
      </x:c>
      <x:c r="B177" s="30" t="str">
        <x:v>常规-全球</x:v>
      </x:c>
      <x:c r="C177" s="30" t="str">
        <x:v>刷子</x:v>
      </x:c>
      <x:c r="D177" s="31" t="str">
        <x:v>20437934</x:v>
      </x:c>
      <x:c r="E177" s="30" t="str">
        <x:v>METTLER-TOLEDO INDIA PRIVATE LIMITED</x:v>
      </x:c>
      <x:c r="F177" s="30" t="str">
        <x:v>印度</x:v>
      </x:c>
      <x:c r="G177" s="30" t="str">
        <x:v>sujith.nambiar@mt.com</x:v>
      </x:c>
      <x:c r="H177" s="30" t="str">
        <x:f>IF(ISNUMBER(SEARCH(":1",AC177)),"已验证有效",IF(ISNUMBER(SEARCH(":3",AC177)),"验证不确定",IF(ISNUMBER(SEARCH(":0",AC177)),"接口未能检测",IF(ISNUMBER(SEARCH(":2",AC177)),"判定无效",IF(V177&lt;&gt;"","官网已确认-未验证","无邮箱")))))</x:f>
        <x:v>已验证有效</x:v>
      </x:c>
      <x:c r="I177" s="30" t="str"/>
      <x:c r="J177" s="30" t="str">
        <x:v>www.mt.com</x:v>
      </x:c>
      <x:c r="K177" s="35" t="n">
        <x:f>ROUND((IF(H177="已验证有效",40,IF(V177&lt;&gt;"",20,0))+IF(ISNUMBER(SEARCH("状态1",Y177)),25,0)+IF(J177&lt;&gt;"",20,0)+IF(AA177&lt;&gt;"",15,0))/100,2)</x:f>
        <x:v>0.6</x:v>
      </x:c>
      <x:c r="L177" s="30" t="str">
        <x:v>待联系</x:v>
      </x:c>
      <x:c r="M177" s="30" t="str"/>
      <x:c r="N177" s="30" t="str">
        <x:v>AMAR HILLSAKI VIHAR ROAD POWAI MUMBAI</x:v>
      </x:c>
      <x:c r="O177" s="30" t="str"/>
      <x:c r="P177" s="30" t="str">
        <x:v>为全球客户提供研发、质量控制、生产、物流和零售等多种应用的精密仪器和服务</x:v>
      </x:c>
      <x:c r="Q177" s="32" t="n">
        <x:v>13</x:v>
      </x:c>
      <x:c r="R177" s="32" t="n">
        <x:v>65242</x:v>
      </x:c>
      <x:c r="S177" s="33" t="n">
        <x:v>0.0002</x:v>
      </x:c>
      <x:c r="T177" s="34" t="n">
        <x:v>45823.666666666664</x:v>
      </x:c>
      <x:c r="U177" s="30" t="str">
        <x:v>sujith.nambiar@mt.com</x:v>
      </x:c>
      <x:c r="V177" s="30" t="str"/>
      <x:c r="W177" s="30" t="str"/>
      <x:c r="X177" s="30" t="str"/>
      <x:c r="Y177" s="30" t="str"/>
      <x:c r="Z177" s="30" t="str"/>
      <x:c r="AA177" s="30" t="str"/>
      <x:c r="AB177" s="30" t="str"/>
      <x:c r="AC177" s="30" t="str">
        <x:v>sujith.nambiar@mt.com:1</x:v>
      </x:c>
      <x:c r="AD177" s="30" t="str"/>
      <x:c r="AE177" s="30" t="str"/>
      <x:c r="AF177" s="30" t="str">
        <x:v>28130698 Brush, Strip, Mink 100mm 28130698 Brush, Strip, Mink 100mm</x:v>
      </x:c>
      <x:c r="AG177" s="30" t="str"/>
      <x:c r="AH177" s="30" t="str"/>
      <x:c r="AI177" s="30" t="str"/>
      <x:c r="AJ177" s="30" t="str">
        <x:v>刷子</x:v>
      </x:c>
      <x:c r="AK177" s="30" t="str">
        <x:v>expansion-search-brush-page-05</x:v>
      </x:c>
      <x:c r="AL177" s="30" t="str">
        <x:v>UpKuajing customs company contact API</x:v>
      </x:c>
      <x:c r="AM177" s="30" t="str"/>
      <x:c r="AN177" s="30" t="str"/>
      <x:c r="AO177" s="34" t="n">
        <x:v>46220</x:v>
      </x:c>
    </x:row>
    <x:row r="178" ht="44" customHeight="1">
      <x:c r="A178" s="30" t="str">
        <x:v>API联系方式已获取</x:v>
      </x:c>
      <x:c r="B178" s="30" t="str">
        <x:v>常规-全球</x:v>
      </x:c>
      <x:c r="C178" s="30" t="str">
        <x:v>刷子</x:v>
      </x:c>
      <x:c r="D178" s="31" t="str">
        <x:v>20468427</x:v>
      </x:c>
      <x:c r="E178" s="30" t="str">
        <x:v>SERVICIOS INTERNACIONALES MARINOS SA DE CV</x:v>
      </x:c>
      <x:c r="F178" s="30" t="str">
        <x:v>墨西哥</x:v>
      </x:c>
      <x:c r="G178" s="30" t="str">
        <x:v>ventas@servimar.com</x:v>
      </x:c>
      <x:c r="H178" s="30" t="str">
        <x:f>IF(ISNUMBER(SEARCH(":1",AC178)),"已验证有效",IF(ISNUMBER(SEARCH(":3",AC178)),"验证不确定",IF(ISNUMBER(SEARCH(":0",AC178)),"接口未能检测",IF(ISNUMBER(SEARCH(":2",AC178)),"判定无效",IF(V178&lt;&gt;"","官网已确认-未验证","无邮箱")))))</x:f>
        <x:v>接口未能检测</x:v>
      </x:c>
      <x:c r="I178" s="30" t="str">
        <x:v>+52 998 887 2373</x:v>
      </x:c>
      <x:c r="J178" s="30" t="str">
        <x:v>www.servimar.com.mx</x:v>
      </x:c>
      <x:c r="K178" s="35" t="n">
        <x:f>ROUND((IF(H178="已验证有效",40,IF(V178&lt;&gt;"",20,0))+IF(ISNUMBER(SEARCH("状态1",Y178)),25,0)+IF(J178&lt;&gt;"",20,0)+IF(AA178&lt;&gt;"",15,0))/100,2)</x:f>
        <x:v>0.6</x:v>
      </x:c>
      <x:c r="L178" s="30" t="str">
        <x:v>待联系</x:v>
      </x:c>
      <x:c r="M178" s="30" t="str"/>
      <x:c r="N178" s="30" t="str">
        <x:v>SM 64 MZA 83 LOTE 7 Y 8 CHICHEN ITZA</x:v>
      </x:c>
      <x:c r="O178" s="30" t="str"/>
      <x:c r="P178" s="30" t="str">
        <x:v>暂无经营范围信息</x:v>
      </x:c>
      <x:c r="Q178" s="32" t="n">
        <x:v>13</x:v>
      </x:c>
      <x:c r="R178" s="32" t="n">
        <x:v>10988</x:v>
      </x:c>
      <x:c r="S178" s="33" t="n">
        <x:v>0.0012</x:v>
      </x:c>
      <x:c r="T178" s="34" t="n">
        <x:v>45792.666666666664</x:v>
      </x:c>
      <x:c r="U178" s="30" t="str">
        <x:v>ventas@servimar.com</x:v>
      </x:c>
      <x:c r="V178" s="30" t="str"/>
      <x:c r="W178" s="30" t="str">
        <x:v>+52 998 887 2373</x:v>
      </x:c>
      <x:c r="X178" s="30" t="str"/>
      <x:c r="Y178" s="30" t="str">
        <x:v>+52 998 887 2373:状态1/类型3/WhatsApp2</x:v>
      </x:c>
      <x:c r="Z178" s="30" t="str"/>
      <x:c r="AA178" s="30" t="str">
        <x:v>https://www.facebook.com/Servimarmarinesupplies</x:v>
      </x:c>
      <x:c r="AB178" s="30" t="str"/>
      <x:c r="AC178" s="30" t="str">
        <x:v>ventas@servimar.com:0</x:v>
      </x:c>
      <x:c r="AD178" s="30" t="str">
        <x:v>Brush without Handle</x:v>
      </x:c>
      <x:c r="AE178" s="30" t="str">
        <x:v>刷子；Without Handle</x:v>
      </x:c>
      <x:c r="AF178" s="30" t="str">
        <x:v>CEPILLO SIN MANGO</x:v>
      </x:c>
      <x:c r="AG178" s="30" t="str">
        <x:v>Handleless Brush；Brush without Grip；Gripless Brush；Brush without Shaft；Shaftless Brush</x:v>
      </x:c>
      <x:c r="AH178" s="30" t="str">
        <x:v>Bristles；塑料；Wood；金属；Fiber</x:v>
      </x:c>
      <x:c r="AI178" s="30" t="str">
        <x:v>Household Cleaning；Industrial Cleaning；Automotive Cleaning；Pet Grooming；Art and Craft</x:v>
      </x:c>
      <x:c r="AJ178" s="30" t="str">
        <x:v>刷子</x:v>
      </x:c>
      <x:c r="AK178" s="30" t="str">
        <x:v>expansion-search-brush-page-10</x:v>
      </x:c>
      <x:c r="AL178" s="30" t="str">
        <x:v>UpKuajing customs company contact API</x:v>
      </x:c>
      <x:c r="AM178" s="30" t="str"/>
      <x:c r="AN178" s="30" t="str"/>
      <x:c r="AO178" s="34" t="n">
        <x:v>46220</x:v>
      </x:c>
    </x:row>
    <x:row r="179" ht="44" customHeight="1">
      <x:c r="A179" s="30" t="str">
        <x:v>API联系方式已获取</x:v>
      </x:c>
      <x:c r="B179" s="30" t="str">
        <x:v>常规-全球</x:v>
      </x:c>
      <x:c r="C179" s="30" t="str">
        <x:v>PVC护角条</x:v>
      </x:c>
      <x:c r="D179" s="31" t="str">
        <x:v>19753465</x:v>
      </x:c>
      <x:c r="E179" s="30" t="str">
        <x:v>công ty tnhh high point việt nam</x:v>
      </x:c>
      <x:c r="F179" s="30" t="str">
        <x:v>越南</x:v>
      </x:c>
      <x:c r="G179" s="30" t="str">
        <x:v>highpoint@hcm.vnn.vn</x:v>
      </x:c>
      <x:c r="H179" s="30" t="str">
        <x:f>IF(ISNUMBER(SEARCH(":1",AC179)),"已验证有效",IF(ISNUMBER(SEARCH(":3",AC179)),"验证不确定",IF(ISNUMBER(SEARCH(":0",AC179)),"接口未能检测",IF(ISNUMBER(SEARCH(":2",AC179)),"判定无效",IF(V179&lt;&gt;"","官网已确认-未验证","无邮箱")))))</x:f>
        <x:v>已验证有效</x:v>
      </x:c>
      <x:c r="I179" s="30" t="str"/>
      <x:c r="J179" s="30" t="str"/>
      <x:c r="K179" s="35" t="n">
        <x:f>ROUND((IF(H179="已验证有效",40,IF(V179&lt;&gt;"",20,0))+IF(ISNUMBER(SEARCH("状态1",Y179)),25,0)+IF(J179&lt;&gt;"",20,0)+IF(AA179&lt;&gt;"",15,0))/100,2)</x:f>
        <x:v>0.4</x:v>
      </x:c>
      <x:c r="L179" s="30" t="str">
        <x:v>待联系</x:v>
      </x:c>
      <x:c r="M179" s="30" t="str"/>
      <x:c r="N179" s="30" t="str">
        <x:v>khu công nghiệp nhơn trạch 1, 319 h. nhơn trạch,đồng nai</x:v>
      </x:c>
      <x:c r="O179" s="30" t="str"/>
      <x:c r="P179" s="30" t="str">
        <x:v>铁氧体、电缆、刀具、弹簧、行李箱、手柄、铆钉、电磁铁、装饰带、网布、冲孔机、密封条、座椅、贱金属、化纤喷丝头、传动轴、装配机、麂皮、电源线、眼睛</x:v>
      </x:c>
      <x:c r="Q179" s="32" t="n">
        <x:v>12</x:v>
      </x:c>
      <x:c r="R179" s="32" t="n">
        <x:v>14139</x:v>
      </x:c>
      <x:c r="S179" s="33" t="n">
        <x:v>0.0008</x:v>
      </x:c>
      <x:c r="T179" s="34" t="n">
        <x:v>45720.666666666664</x:v>
      </x:c>
      <x:c r="U179" s="30" t="str">
        <x:v>highpoint@hcm.vnn.vn</x:v>
      </x:c>
      <x:c r="V179" s="30" t="str"/>
      <x:c r="W179" s="30" t="str"/>
      <x:c r="X179" s="30" t="str"/>
      <x:c r="Y179" s="30" t="str"/>
      <x:c r="Z179" s="30" t="str"/>
      <x:c r="AA179" s="30" t="str"/>
      <x:c r="AB179" s="30" t="str"/>
      <x:c r="AC179" s="30" t="str">
        <x:v>highpoint@hcm.vnn.vn:1</x:v>
      </x:c>
      <x:c r="AD179" s="30" t="str"/>
      <x:c r="AE179" s="30" t="str">
        <x:v>stainless steel；hardened plastic</x:v>
      </x:c>
      <x:c r="AF179" s="30" t="str">
        <x:v>C01SX#&amp;Cọng nhựa góc PVC dùng cho sản xuất vali, túi xách (PVC Corner Protector)</x:v>
      </x:c>
      <x:c r="AG179" s="30" t="str"/>
      <x:c r="AH179" s="30" t="str"/>
      <x:c r="AI179" s="30" t="str"/>
      <x:c r="AJ179" s="30" t="str">
        <x:v>PVC护角条</x:v>
      </x:c>
      <x:c r="AK179" s="30" t="str">
        <x:v>expansion-search-pvc-corner-protector-page-01</x:v>
      </x:c>
      <x:c r="AL179" s="30" t="str">
        <x:v>UpKuajing customs company contact API</x:v>
      </x:c>
      <x:c r="AM179" s="30" t="str"/>
      <x:c r="AN179" s="30" t="str"/>
      <x:c r="AO179" s="34" t="n">
        <x:v>46220</x:v>
      </x:c>
    </x:row>
    <x:row r="180" ht="44" customHeight="1">
      <x:c r="A180" s="30" t="str">
        <x:v>API联系方式已获取</x:v>
      </x:c>
      <x:c r="B180" s="30" t="str">
        <x:v>常规-全球</x:v>
      </x:c>
      <x:c r="C180" s="30" t="str">
        <x:v>刷子</x:v>
      </x:c>
      <x:c r="D180" s="31" t="str">
        <x:v>20429557</x:v>
      </x:c>
      <x:c r="E180" s="30" t="str">
        <x:v>DECATHLON CHILE SPA</x:v>
      </x:c>
      <x:c r="F180" s="30" t="str">
        <x:v>智利</x:v>
      </x:c>
      <x:c r="G180" s="30" t="str">
        <x:v>laboral@inacap.cl</x:v>
      </x:c>
      <x:c r="H180" s="30" t="str">
        <x:f>IF(ISNUMBER(SEARCH(":1",AC180)),"已验证有效",IF(ISNUMBER(SEARCH(":3",AC180)),"验证不确定",IF(ISNUMBER(SEARCH(":0",AC180)),"接口未能检测",IF(ISNUMBER(SEARCH(":2",AC180)),"判定无效",IF(V180&lt;&gt;"","官网已确认-未验证","无邮箱")))))</x:f>
        <x:v>已验证有效</x:v>
      </x:c>
      <x:c r="I180" s="30" t="str">
        <x:v>+56 9 7823 4335</x:v>
      </x:c>
      <x:c r="J180" s="30" t="str">
        <x:v>decathlon.trabajando.cl</x:v>
      </x:c>
      <x:c r="K180" s="35" t="n">
        <x:f>ROUND((IF(H180="已验证有效",40,IF(V180&lt;&gt;"",20,0))+IF(ISNUMBER(SEARCH("状态1",Y180)),25,0)+IF(J180&lt;&gt;"",20,0)+IF(AA180&lt;&gt;"",15,0))/100,2)</x:f>
        <x:v>1</x:v>
      </x:c>
      <x:c r="L180" s="30" t="str">
        <x:v>待联系</x:v>
      </x:c>
      <x:c r="M180" s="30" t="str"/>
      <x:c r="N180" s="30" t="str">
        <x:v>CERRO EL PLOMO 5420 1304 , LAS CONDES</x:v>
      </x:c>
      <x:c r="O180" s="30" t="str"/>
      <x:c r="P180" s="30" t="str">
        <x:v>暂无经营范围信息</x:v>
      </x:c>
      <x:c r="Q180" s="32" t="n">
        <x:v>12</x:v>
      </x:c>
      <x:c r="R180" s="32" t="n">
        <x:v>101077</x:v>
      </x:c>
      <x:c r="S180" s="33" t="n">
        <x:v>0.0001</x:v>
      </x:c>
      <x:c r="T180" s="34" t="n">
        <x:v>45847.666666666664</x:v>
      </x:c>
      <x:c r="U180" s="30" t="str">
        <x:v>laboral@inacap.cl</x:v>
      </x:c>
      <x:c r="V180" s="30" t="str"/>
      <x:c r="W180" s="30" t="str">
        <x:v>+56 9 7823 4335</x:v>
      </x:c>
      <x:c r="X180" s="30" t="str"/>
      <x:c r="Y180" s="30" t="str">
        <x:v>+56 9 7823 4335:状态1/类型3/WhatsApp2</x:v>
      </x:c>
      <x:c r="Z180" s="30" t="str"/>
      <x:c r="AA180" s="30" t="str">
        <x:v>https://www.youtube.com/watch?v=Yo2nHomLLfM</x:v>
      </x:c>
      <x:c r="AB180" s="30" t="str"/>
      <x:c r="AC180" s="30" t="str">
        <x:v>laboral@inacap.cl:1</x:v>
      </x:c>
      <x:c r="AD180" s="30" t="str">
        <x:v>Mechanical Broom；刷子；Feather Duster</x:v>
      </x:c>
      <x:c r="AE180" s="30" t="str">
        <x:v>Mechanical broom；刷子；Feather duster；Manual use；Cleaning</x:v>
      </x:c>
      <x:c r="AF180" s="30" t="str">
        <x:v> BOLSA DE AGUAD.-F ESCOBAS MECANICAS USO MANUAL, PINCELES Y PLUMEROS</x:v>
      </x:c>
      <x:c r="AG180" s="30" t="str">
        <x:v>Handheld broom；Hand brush；Duster brush；Manual broom；Cleaning brush</x:v>
      </x:c>
      <x:c r="AH180" s="30" t="str">
        <x:v>塑料；Wood；Bristles；Feathers；金属</x:v>
      </x:c>
      <x:c r="AI180" s="30" t="str">
        <x:v>Household cleaning；Office cleaning；Industrial cleaning；Vehicle cleaning；Warehouse cleaning</x:v>
      </x:c>
      <x:c r="AJ180" s="30" t="str">
        <x:v>刷子</x:v>
      </x:c>
      <x:c r="AK180" s="30" t="str">
        <x:v>expansion-search-brush-page-03</x:v>
      </x:c>
      <x:c r="AL180" s="30" t="str">
        <x:v>UpKuajing customs company contact API</x:v>
      </x:c>
      <x:c r="AM180" s="30" t="str"/>
      <x:c r="AN180" s="30" t="str"/>
      <x:c r="AO180" s="34" t="n">
        <x:v>46220</x:v>
      </x:c>
    </x:row>
    <x:row r="181" ht="44" customHeight="1">
      <x:c r="A181" s="30" t="str">
        <x:v>API联系方式已获取</x:v>
      </x:c>
      <x:c r="B181" s="30" t="str">
        <x:v>常规-全球</x:v>
      </x:c>
      <x:c r="C181" s="30" t="str">
        <x:v>刷子</x:v>
      </x:c>
      <x:c r="D181" s="31" t="str">
        <x:v>20426639</x:v>
      </x:c>
      <x:c r="E181" s="30" t="str">
        <x:v>DIFFUPAR SA</x:v>
      </x:c>
      <x:c r="F181" s="30" t="str">
        <x:v>阿根廷</x:v>
      </x:c>
      <x:c r="G181" s="30" t="str">
        <x:v>info@diffupar.com</x:v>
      </x:c>
      <x:c r="H181" s="30" t="str">
        <x:f>IF(ISNUMBER(SEARCH(":1",AC181)),"已验证有效",IF(ISNUMBER(SEARCH(":3",AC181)),"验证不确定",IF(ISNUMBER(SEARCH(":0",AC181)),"接口未能检测",IF(ISNUMBER(SEARCH(":2",AC181)),"判定无效",IF(V181&lt;&gt;"","官网已确认-未验证","无邮箱")))))</x:f>
        <x:v>已验证有效</x:v>
      </x:c>
      <x:c r="I181" s="30" t="str">
        <x:v>+54 11 4552-3065</x:v>
      </x:c>
      <x:c r="J181" s="30" t="str">
        <x:v>www.diffupar.com</x:v>
      </x:c>
      <x:c r="K181" s="35" t="n">
        <x:f>ROUND((IF(H181="已验证有效",40,IF(V181&lt;&gt;"",20,0))+IF(ISNUMBER(SEARCH("状态1",Y181)),25,0)+IF(J181&lt;&gt;"",20,0)+IF(AA181&lt;&gt;"",15,0))/100,2)</x:f>
        <x:v>1</x:v>
      </x:c>
      <x:c r="L181" s="30" t="str">
        <x:v>待联系</x:v>
      </x:c>
      <x:c r="M181" s="30" t="str"/>
      <x:c r="N181" s="30" t="str">
        <x:v>CIUDAD AUTONOMA BUENOS AIRES CAPITAL FEDERAL ESTOMBA 580</x:v>
      </x:c>
      <x:c r="O181" s="30" t="str"/>
      <x:c r="P181" s="30" t="str">
        <x:v>香水、化妆品和护理产品</x:v>
      </x:c>
      <x:c r="Q181" s="32" t="n">
        <x:v>12</x:v>
      </x:c>
      <x:c r="R181" s="32" t="n">
        <x:v>27682</x:v>
      </x:c>
      <x:c r="S181" s="33" t="n">
        <x:v>0.0004</x:v>
      </x:c>
      <x:c r="T181" s="34" t="n">
        <x:v>45865.666666666664</x:v>
      </x:c>
      <x:c r="U181" s="30" t="str">
        <x:v>info@diffupar.com</x:v>
      </x:c>
      <x:c r="V181" s="30" t="str"/>
      <x:c r="W181" s="30" t="str">
        <x:v>+54 11 4552-3065</x:v>
      </x:c>
      <x:c r="X181" s="30" t="str"/>
      <x:c r="Y181" s="30" t="str">
        <x:v>+54 11 4552-3065:状态1/类型1/WhatsApp2</x:v>
      </x:c>
      <x:c r="Z181" s="30" t="str"/>
      <x:c r="AA181" s="30" t="str">
        <x:v>https://www.linkedin.com/company/diffupar-s.a.---perfumerias-rouge</x:v>
      </x:c>
      <x:c r="AB181" s="30" t="str"/>
      <x:c r="AC181" s="30" t="str">
        <x:v>info@diffupar.com:1</x:v>
      </x:c>
      <x:c r="AD181" s="30" t="str">
        <x:v>Brooms；刷子；Scrubbers；油漆刷</x:v>
      </x:c>
      <x:c r="AE181" s="30" t="str">
        <x:v>Brooms；刷子；塑料；Cleaning；Painting</x:v>
      </x:c>
      <x:c r="AF181" s="30" t="str">
        <x:v>PARA CABELLO. CON MONTURA DE PLASTICO. LOS DEMAS DE PLASTICO, INCLUSO CON MONTURA DE OTRAS MATERIAS. LOS DEMAS. ESCOBAS Y ESCOBILLAS, CEPILLOS, BROCHAS Y PINCELES (INCLUSO SI SON PARTES DE MAQUINAS, APARATOS O VEHICULOS), ESCOBAS MECANICAS, SIN MOTOR,...</x:v>
      </x:c>
      <x:c r="AG181" s="30" t="str">
        <x:v>Sweeping broom；Scrubbing brush；油漆刷；Cleaning brush；Hand broom</x:v>
      </x:c>
      <x:c r="AH181" s="30" t="str">
        <x:v>塑料树脂；Fiber；Wood；金属；Bristle</x:v>
      </x:c>
      <x:c r="AI181" s="30" t="str">
        <x:v>Household cleaning；Industrial cleaning；Art painting；Automobile painting；Wall painting</x:v>
      </x:c>
      <x:c r="AJ181" s="30" t="str">
        <x:v>刷子</x:v>
      </x:c>
      <x:c r="AK181" s="30" t="str">
        <x:v>expansion-search-brush-page-02</x:v>
      </x:c>
      <x:c r="AL181" s="30" t="str">
        <x:v>UpKuajing customs company contact API</x:v>
      </x:c>
      <x:c r="AM181" s="30" t="str"/>
      <x:c r="AN181" s="30" t="str"/>
      <x:c r="AO181" s="34" t="n">
        <x:v>46220</x:v>
      </x:c>
    </x:row>
    <x:row r="182" ht="44" customHeight="1">
      <x:c r="A182" s="30" t="str">
        <x:v>API联系方式已获取</x:v>
      </x:c>
      <x:c r="B182" s="30" t="str">
        <x:v>常规-全球</x:v>
      </x:c>
      <x:c r="C182" s="30" t="str">
        <x:v>刷子</x:v>
      </x:c>
      <x:c r="D182" s="31" t="str">
        <x:v>20428832</x:v>
      </x:c>
      <x:c r="E182" s="30" t="str">
        <x:v>KUPFER HERMANOS SA</x:v>
      </x:c>
      <x:c r="F182" s="30" t="str">
        <x:v>智利</x:v>
      </x:c>
      <x:c r="G182" s="30" t="str">
        <x:v>kupfer@kupfer.cl</x:v>
      </x:c>
      <x:c r="H182" s="30" t="str">
        <x:f>IF(ISNUMBER(SEARCH(":1",AC182)),"已验证有效",IF(ISNUMBER(SEARCH(":3",AC182)),"验证不确定",IF(ISNUMBER(SEARCH(":0",AC182)),"接口未能检测",IF(ISNUMBER(SEARCH(":2",AC182)),"判定无效",IF(V182&lt;&gt;"","官网已确认-未验证","无邮箱")))))</x:f>
        <x:v>已验证有效</x:v>
      </x:c>
      <x:c r="I182" s="30" t="str">
        <x:v>+56 2 2351 5000</x:v>
      </x:c>
      <x:c r="J182" s="30" t="str">
        <x:v>www.kupfer.cl</x:v>
      </x:c>
      <x:c r="K182" s="35" t="n">
        <x:f>ROUND((IF(H182="已验证有效",40,IF(V182&lt;&gt;"",20,0))+IF(ISNUMBER(SEARCH("状态1",Y182)),25,0)+IF(J182&lt;&gt;"",20,0)+IF(AA182&lt;&gt;"",15,0))/100,2)</x:f>
        <x:v>1</x:v>
      </x:c>
      <x:c r="L182" s="30" t="str">
        <x:v>待联系</x:v>
      </x:c>
      <x:c r="M182" s="30" t="str"/>
      <x:c r="N182" s="30" t="str">
        <x:v>LIBERTAD 58</x:v>
      </x:c>
      <x:c r="O182" s="30" t="str"/>
      <x:c r="P182" s="30" t="str">
        <x:v>硬件及其他相关产品</x:v>
      </x:c>
      <x:c r="Q182" s="32" t="n">
        <x:v>12</x:v>
      </x:c>
      <x:c r="R182" s="32" t="n">
        <x:v>32852</x:v>
      </x:c>
      <x:c r="S182" s="33" t="n">
        <x:v>0.0004</x:v>
      </x:c>
      <x:c r="T182" s="34" t="n">
        <x:v>45796.666666666664</x:v>
      </x:c>
      <x:c r="U182" s="30" t="str">
        <x:v>kupfer@kupfer.cl</x:v>
      </x:c>
      <x:c r="V182" s="30" t="str"/>
      <x:c r="W182" s="30" t="str">
        <x:v>+56 2 2351 5000; +56 2 2351 5055; +56 600 320 0555</x:v>
      </x:c>
      <x:c r="X182" s="30" t="str"/>
      <x:c r="Y182" s="30" t="str">
        <x:v>+56 2 2351 5000:状态1/类型3/WhatsApp2; +56 2 2351 5055:状态1/类型3/WhatsApp2; +56 600 320 0555:状态1/类型3/WhatsApp2</x:v>
      </x:c>
      <x:c r="Z182" s="30" t="str"/>
      <x:c r="AA182" s="30" t="str">
        <x:v>https://www.facebook.com/kupferchile; https://www.linkedin.com/company/kupfer-hnos.-s.-a.; https://twitter.com/KUPFER_CHILE; https://www.youtube.com/channel/UC8qyQjqCwEd_p0n4aq0HZJw?view_as=subscriber</x:v>
      </x:c>
      <x:c r="AB182" s="30" t="str"/>
      <x:c r="AC182" s="30" t="str">
        <x:v>kupfer@kupfer.cl:1</x:v>
      </x:c>
      <x:c r="AD182" s="30" t="str">
        <x:v>Brushes for machines, devices or vehicles</x:v>
      </x:c>
      <x:c r="AE182" s="30" t="str">
        <x:v>刷子；Machine parts</x:v>
      </x:c>
      <x:c r="AF182" s="30" t="str">
        <x:v>CARDAA.R.G.-FITEM 000110LOSDEMAS CEPILLOS QUE CONSTITUYE N PARTES DE MAQUINAS, LOS DEMAS. LOS DEMAS CEPILLOS QUE CONSTITUYAN PARTES DE MAQUINAS, APARATOS O DE VEHICULOS</x:v>
      </x:c>
      <x:c r="AG182" s="30" t="str">
        <x:v>Machine brushes；Device brushes；Vehicle brushes；Brush parts；Equipment brushes</x:v>
      </x:c>
      <x:c r="AH182" s="30" t="str">
        <x:v>Bristles；塑料；金属；Fiber；橡胶</x:v>
      </x:c>
      <x:c r="AI182" s="30" t="str">
        <x:v>Industrial machinery；Automobiles；家用电器；Electronic devices；Agricultural equipment</x:v>
      </x:c>
      <x:c r="AJ182" s="30" t="str">
        <x:v>刷子</x:v>
      </x:c>
      <x:c r="AK182" s="30" t="str">
        <x:v>expansion-search-brush-page-03</x:v>
      </x:c>
      <x:c r="AL182" s="30" t="str">
        <x:v>UpKuajing customs company contact API</x:v>
      </x:c>
      <x:c r="AM182" s="30" t="str"/>
      <x:c r="AN182" s="30" t="str"/>
      <x:c r="AO182" s="34" t="n">
        <x:v>46220</x:v>
      </x:c>
    </x:row>
    <x:row r="183" ht="44" customHeight="1">
      <x:c r="A183" s="30" t="str">
        <x:v>API联系方式已获取</x:v>
      </x:c>
      <x:c r="B183" s="30" t="str">
        <x:v>常规-全球</x:v>
      </x:c>
      <x:c r="C183" s="30" t="str">
        <x:v>刷子</x:v>
      </x:c>
      <x:c r="D183" s="31" t="str">
        <x:v>20438835</x:v>
      </x:c>
      <x:c r="E183" s="30" t="str">
        <x:v>SHOFU DENTAL INDIA PRIVATE LIMITED</x:v>
      </x:c>
      <x:c r="F183" s="30" t="str">
        <x:v>印度</x:v>
      </x:c>
      <x:c r="G183" s="30" t="str">
        <x:v>jaspreet@shofudental.co.in</x:v>
      </x:c>
      <x:c r="H183" s="30" t="str">
        <x:f>IF(ISNUMBER(SEARCH(":1",AC183)),"已验证有效",IF(ISNUMBER(SEARCH(":3",AC183)),"验证不确定",IF(ISNUMBER(SEARCH(":0",AC183)),"接口未能检测",IF(ISNUMBER(SEARCH(":2",AC183)),"判定无效",IF(V183&lt;&gt;"","官网已确认-未验证","无邮箱")))))</x:f>
        <x:v>已验证有效</x:v>
      </x:c>
      <x:c r="I183" s="30" t="str">
        <x:v>+91 11 4944 1400</x:v>
      </x:c>
      <x:c r="J183" s="30" t="str">
        <x:v>shofu.co.in</x:v>
      </x:c>
      <x:c r="K183" s="35" t="n">
        <x:f>ROUND((IF(H183="已验证有效",40,IF(V183&lt;&gt;"",20,0))+IF(ISNUMBER(SEARCH("状态1",Y183)),25,0)+IF(J183&lt;&gt;"",20,0)+IF(AA183&lt;&gt;"",15,0))/100,2)</x:f>
        <x:v>1</x:v>
      </x:c>
      <x:c r="L183" s="30" t="str">
        <x:v>待联系</x:v>
      </x:c>
      <x:c r="M183" s="30" t="str"/>
      <x:c r="N183" s="30" t="str">
        <x:v>D-3/3, OKHLA INDUSTRIAL AREA , PHASE-II , NEW  SOUTH</x:v>
      </x:c>
      <x:c r="O183" s="30" t="str"/>
      <x:c r="P183" s="30" t="str">
        <x:v>暂无经营范围信息</x:v>
      </x:c>
      <x:c r="Q183" s="32" t="n">
        <x:v>12</x:v>
      </x:c>
      <x:c r="R183" s="32" t="n">
        <x:v>11700</x:v>
      </x:c>
      <x:c r="S183" s="33" t="n">
        <x:v>0.001</x:v>
      </x:c>
      <x:c r="T183" s="34" t="n">
        <x:v>45844.666666666664</x:v>
      </x:c>
      <x:c r="U183" s="30" t="str">
        <x:v>info@shofudental.co; jaspreet@shofudental.co.in; mailbx@shofu.com</x:v>
      </x:c>
      <x:c r="V183" s="30" t="str"/>
      <x:c r="W183" s="30" t="str">
        <x:v>+91 11 4944 1400</x:v>
      </x:c>
      <x:c r="X183" s="30" t="str"/>
      <x:c r="Y183" s="30" t="str">
        <x:v>+91 11 4944 1400:状态1/类型1/WhatsApp2</x:v>
      </x:c>
      <x:c r="Z183" s="30" t="str"/>
      <x:c r="AA183" s="30" t="str">
        <x:v>https://www.facebook.com/shofuindia; https://twitter.com/SdaApac; https://www.youtube.com/channel/UCkHEyliQ-TQ-RwSsXrDHtDQ/featured</x:v>
      </x:c>
      <x:c r="AB183" s="30" t="str"/>
      <x:c r="AC183" s="30" t="str">
        <x:v>info@shofudental.co:0; jaspreet@shofudental.co.in:1; mailbx@shofu.com:0</x:v>
      </x:c>
      <x:c r="AD183" s="30" t="str"/>
      <x:c r="AE183" s="30" t="str"/>
      <x:c r="AF183" s="30" t="str">
        <x:v>UNI BRUSH NO.5 (DENTAL INSTRUMENTS) UNI BRUSH NO.5 (DENTAL INSTRUMENTS)</x:v>
      </x:c>
      <x:c r="AG183" s="30" t="str"/>
      <x:c r="AH183" s="30" t="str"/>
      <x:c r="AI183" s="30" t="str"/>
      <x:c r="AJ183" s="30" t="str">
        <x:v>刷子</x:v>
      </x:c>
      <x:c r="AK183" s="30" t="str">
        <x:v>expansion-search-brush-page-06</x:v>
      </x:c>
      <x:c r="AL183" s="30" t="str">
        <x:v>UpKuajing customs company contact API</x:v>
      </x:c>
      <x:c r="AM183" s="30" t="str"/>
      <x:c r="AN183" s="30" t="str"/>
      <x:c r="AO183" s="34" t="n">
        <x:v>46220</x:v>
      </x:c>
    </x:row>
    <x:row r="184" ht="44" customHeight="1">
      <x:c r="A184" s="30" t="str">
        <x:v>API联系方式已获取</x:v>
      </x:c>
      <x:c r="B184" s="30" t="str">
        <x:v>常规-全球</x:v>
      </x:c>
      <x:c r="C184" s="30" t="str">
        <x:v>遮蔽膜</x:v>
      </x:c>
      <x:c r="D184" s="31" t="str">
        <x:v>22311398</x:v>
      </x:c>
      <x:c r="E184" s="30" t="str">
        <x:v>SUMAX ENGINEERING PRIVATE LIMITED</x:v>
      </x:c>
      <x:c r="F184" s="30" t="str">
        <x:v>印度</x:v>
      </x:c>
      <x:c r="G184" s="30" t="str">
        <x:v>info@sumaxindia.com</x:v>
      </x:c>
      <x:c r="H184" s="30" t="str">
        <x:f>IF(ISNUMBER(SEARCH(":1",AC184)),"已验证有效",IF(ISNUMBER(SEARCH(":3",AC184)),"验证不确定",IF(ISNUMBER(SEARCH(":0",AC184)),"接口未能检测",IF(ISNUMBER(SEARCH(":2",AC184)),"判定无效",IF(V184&lt;&gt;"","官网已确认-未验证","无邮箱")))))</x:f>
        <x:v>已验证有效</x:v>
      </x:c>
      <x:c r="I184" s="30" t="str">
        <x:v>+91 40 2773 7001</x:v>
      </x:c>
      <x:c r="J184" s="30" t="str">
        <x:v>www.sumaxindia.com</x:v>
      </x:c>
      <x:c r="K184" s="35" t="n">
        <x:f>ROUND((IF(H184="已验证有效",40,IF(V184&lt;&gt;"",20,0))+IF(ISNUMBER(SEARCH("状态1",Y184)),25,0)+IF(J184&lt;&gt;"",20,0)+IF(AA184&lt;&gt;"",15,0))/100,2)</x:f>
        <x:v>0.85</x:v>
      </x:c>
      <x:c r="L184" s="30" t="str">
        <x:v>待联系</x:v>
      </x:c>
      <x:c r="M184" s="30" t="str"/>
      <x:c r="N184" s="30" t="str">
        <x:v>NO. 45 , SHANTHI NIKETHAN COLONY, MAHENDRA HILLS , EAST MARREDPALLY</x:v>
      </x:c>
      <x:c r="O184" s="30" t="str"/>
      <x:c r="P184" s="30" t="str">
        <x:v>暂无经营范围信息</x:v>
      </x:c>
      <x:c r="Q184" s="32" t="n">
        <x:v>12</x:v>
      </x:c>
      <x:c r="R184" s="32" t="n">
        <x:v>5174</x:v>
      </x:c>
      <x:c r="S184" s="33" t="n">
        <x:v>0.0023</x:v>
      </x:c>
      <x:c r="T184" s="34" t="n">
        <x:v>45597.666666666664</x:v>
      </x:c>
      <x:c r="U184" s="30" t="str">
        <x:v>info@sumaxindia.com</x:v>
      </x:c>
      <x:c r="V184" s="30" t="str"/>
      <x:c r="W184" s="30" t="str">
        <x:v>+91 40 2773 7001</x:v>
      </x:c>
      <x:c r="X184" s="30" t="str"/>
      <x:c r="Y184" s="30" t="str">
        <x:v>+91 40 2773 7001:状态1/类型1/WhatsApp2</x:v>
      </x:c>
      <x:c r="Z184" s="30" t="str"/>
      <x:c r="AA184" s="30" t="str"/>
      <x:c r="AB184" s="30" t="str"/>
      <x:c r="AC184" s="30" t="str">
        <x:v>info@sumaxindia.com:1</x:v>
      </x:c>
      <x:c r="AD184" s="30" t="str">
        <x:v>遮蔽膜</x:v>
      </x:c>
      <x:c r="AE184" s="30" t="str">
        <x:v>遮蔽；薄膜</x:v>
      </x:c>
      <x:c r="AF184" s="30" t="str">
        <x:v>MASKING FILM (535 MMX1200M) 1 PCS</x:v>
      </x:c>
      <x:c r="AG184" s="30" t="str">
        <x:v>涂装遮蔽膜；保护遮蔽膜；临时遮蔽膜；施工遮蔽膜；装饰遮蔽膜</x:v>
      </x:c>
      <x:c r="AH184" s="30" t="str">
        <x:v>塑料树脂；聚合物；化学添加剂；胶粘剂；基膜材料</x:v>
      </x:c>
      <x:c r="AI184" s="30" t="str">
        <x:v>涂装工程；施工现场；汽车修补涂装；家具制造；装饰工程</x:v>
      </x:c>
      <x:c r="AJ184" s="30" t="str">
        <x:v>遮蔽膜</x:v>
      </x:c>
      <x:c r="AK184" s="30" t="str">
        <x:v>masking-film-buyers-exact-search</x:v>
      </x:c>
      <x:c r="AL184" s="30" t="str">
        <x:v>UpKuajing customs company contact API</x:v>
      </x:c>
      <x:c r="AM184" s="30" t="str"/>
      <x:c r="AN184" s="30" t="str"/>
      <x:c r="AO184" s="34" t="n">
        <x:v>46220</x:v>
      </x:c>
    </x:row>
    <x:row r="185" ht="44" customHeight="1">
      <x:c r="A185" s="30" t="str">
        <x:v>API联系方式已获取</x:v>
      </x:c>
      <x:c r="B185" s="30" t="str">
        <x:v>常规-全球</x:v>
      </x:c>
      <x:c r="C185" s="30" t="str">
        <x:v>刷子</x:v>
      </x:c>
      <x:c r="D185" s="31" t="str">
        <x:v>20428491</x:v>
      </x:c>
      <x:c r="E185" s="30" t="str">
        <x:v>DERCO COLOMBIA S A S</x:v>
      </x:c>
      <x:c r="F185" s="30" t="str">
        <x:v>哥伦比亚</x:v>
      </x:c>
      <x:c r="G185" s="30" t="str">
        <x:v>jennysierra@derco.com.co</x:v>
      </x:c>
      <x:c r="H185" s="30" t="str">
        <x:f>IF(ISNUMBER(SEARCH(":1",AC185)),"已验证有效",IF(ISNUMBER(SEARCH(":3",AC185)),"验证不确定",IF(ISNUMBER(SEARCH(":0",AC185)),"接口未能检测",IF(ISNUMBER(SEARCH(":2",AC185)),"判定无效",IF(V185&lt;&gt;"","官网已确认-未验证","无邮箱")))))</x:f>
        <x:v>已验证有效</x:v>
      </x:c>
      <x:c r="I185" s="30" t="str">
        <x:v>+57 350 3189888</x:v>
      </x:c>
      <x:c r="J185" s="30" t="str">
        <x:v>www.derco.com.co</x:v>
      </x:c>
      <x:c r="K185" s="35" t="n">
        <x:f>ROUND((IF(H185="已验证有效",40,IF(V185&lt;&gt;"",20,0))+IF(ISNUMBER(SEARCH("状态1",Y185)),25,0)+IF(J185&lt;&gt;"",20,0)+IF(AA185&lt;&gt;"",15,0))/100,2)</x:f>
        <x:v>1</x:v>
      </x:c>
      <x:c r="L185" s="30" t="str">
        <x:v>待联系</x:v>
      </x:c>
      <x:c r="M185" s="30" t="str"/>
      <x:c r="N185" s="30" t="str">
        <x:v>CARRERA 7 KILOMETRO 18</x:v>
      </x:c>
      <x:c r="O185" s="30" t="str"/>
      <x:c r="P185" s="30" t="str">
        <x:v>机动车辆</x:v>
      </x:c>
      <x:c r="Q185" s="32" t="n">
        <x:v>11</x:v>
      </x:c>
      <x:c r="R185" s="32" t="n">
        <x:v>44277</x:v>
      </x:c>
      <x:c r="S185" s="33" t="n">
        <x:v>0.0002</x:v>
      </x:c>
      <x:c r="T185" s="34" t="n">
        <x:v>45643.666666666664</x:v>
      </x:c>
      <x:c r="U185" s="30" t="str">
        <x:v>jennysierra@derco.com.co; servicioalcliente@derco.com</x:v>
      </x:c>
      <x:c r="V185" s="30" t="str"/>
      <x:c r="W185" s="30" t="str">
        <x:v>018000112898; 5713122513; 57350; +57 350 3189888; 6013715326</x:v>
      </x:c>
      <x:c r="X185" s="30" t="str"/>
      <x:c r="Y185" s="30" t="str">
        <x:v>018000112898:状态2/类型0/WhatsApp0; 5713122513:状态2/类型0/WhatsApp2; 57350:状态2/类型0/WhatsApp2; +57 350 3189888:状态1/类型2/WhatsApp2; 6013715326:状态2/类型0/WhatsApp2</x:v>
      </x:c>
      <x:c r="Z185" s="30" t="str"/>
      <x:c r="AA185" s="30" t="str">
        <x:v>https://www.facebook.com/dercocolombia; https://www.linkedin.com/company/dercocolombia</x:v>
      </x:c>
      <x:c r="AB185" s="30" t="str"/>
      <x:c r="AC185" s="30" t="str">
        <x:v>jennysierra@derco.com.co:1; servicioalcliente@derco.com:0</x:v>
      </x:c>
      <x:c r="AD185" s="30" t="str">
        <x:v>Windshield wiper brush</x:v>
      </x:c>
      <x:c r="AE185" s="30" t="str">
        <x:v>Windshield wiper brush；Vehicle；Cleaning</x:v>
      </x:c>
      <x:c r="AF185" s="30" t="str">
        <x:v>DO 18167800-001 DECLARACION(16-17) DERCO COLOMBIA S.A.S USUARIO OEA CODIGO OE0255, PEDIDO: CMBR085-24-001, FACTURA: 96488925 FECHA: 2024-09-20 PRODUCTO: PLUMILLA DE LIMPIA PARABRISAS PARA USO EN VEHICULOS, DESTINO: ENSAMBLE EN VEHICULOS, MARCA: CITROEN...</x:v>
      </x:c>
      <x:c r="AG185" s="30" t="str">
        <x:v>Wiper blade；Windshield wiper；Wiper；Windshield cleaner；Automotive wiper</x:v>
      </x:c>
      <x:c r="AH185" s="30" t="str">
        <x:v>塑料；橡胶；金属；Glass fiber；Resin</x:v>
      </x:c>
      <x:c r="AI185" s="30" t="str">
        <x:v>Cars；Trucks；Buses；Motorcycles；RVs</x:v>
      </x:c>
      <x:c r="AJ185" s="30" t="str">
        <x:v>刷子</x:v>
      </x:c>
      <x:c r="AK185" s="30" t="str">
        <x:v>expansion-search-brush-page-02; expansion-search-brush-page-03</x:v>
      </x:c>
      <x:c r="AL185" s="30" t="str">
        <x:v>UpKuajing customs company contact API</x:v>
      </x:c>
      <x:c r="AM185" s="30" t="str"/>
      <x:c r="AN185" s="30" t="str"/>
      <x:c r="AO185" s="34" t="n">
        <x:v>46220</x:v>
      </x:c>
    </x:row>
    <x:row r="186" ht="44" customHeight="1">
      <x:c r="A186" s="30" t="str">
        <x:v>API联系方式已获取</x:v>
      </x:c>
      <x:c r="B186" s="30" t="str">
        <x:v>常规-全球</x:v>
      </x:c>
      <x:c r="C186" s="30" t="str">
        <x:v>刷子</x:v>
      </x:c>
      <x:c r="D186" s="31" t="str">
        <x:v>20468582</x:v>
      </x:c>
      <x:c r="E186" s="30" t="str">
        <x:v>TIENDAS CHEDRAUI SA DE CV</x:v>
      </x:c>
      <x:c r="F186" s="30" t="str">
        <x:v>墨西哥</x:v>
      </x:c>
      <x:c r="G186" s="30" t="str">
        <x:v>ejemplo@mail.com</x:v>
      </x:c>
      <x:c r="H186" s="30" t="str">
        <x:f>IF(ISNUMBER(SEARCH(":1",AC186)),"已验证有效",IF(ISNUMBER(SEARCH(":3",AC186)),"验证不确定",IF(ISNUMBER(SEARCH(":0",AC186)),"接口未能检测",IF(ISNUMBER(SEARCH(":2",AC186)),"判定无效",IF(V186&lt;&gt;"","官网已确认-未验证","无邮箱")))))</x:f>
        <x:v>接口未能检测</x:v>
      </x:c>
      <x:c r="I186" s="30" t="str">
        <x:v>+52 229 935 4559</x:v>
      </x:c>
      <x:c r="J186" s="30" t="str">
        <x:v>www.chedraui.com.mx</x:v>
      </x:c>
      <x:c r="K186" s="35" t="n">
        <x:f>ROUND((IF(H186="已验证有效",40,IF(V186&lt;&gt;"",20,0))+IF(ISNUMBER(SEARCH("状态1",Y186)),25,0)+IF(J186&lt;&gt;"",20,0)+IF(AA186&lt;&gt;"",15,0))/100,2)</x:f>
        <x:v>0.45</x:v>
      </x:c>
      <x:c r="L186" s="30" t="str">
        <x:v>待联系</x:v>
      </x:c>
      <x:c r="M186" s="30" t="str"/>
      <x:c r="N186" s="30" t="str">
        <x:v>CALLE BOSQUES DE BOLOGNIA 121</x:v>
      </x:c>
      <x:c r="O186" s="30" t="str"/>
      <x:c r="P186" s="30" t="str">
        <x:v>暂无经营范围信息</x:v>
      </x:c>
      <x:c r="Q186" s="32" t="n">
        <x:v>11</x:v>
      </x:c>
      <x:c r="R186" s="32" t="n">
        <x:v>20523</x:v>
      </x:c>
      <x:c r="S186" s="33" t="n">
        <x:v>0.0005</x:v>
      </x:c>
      <x:c r="T186" s="34" t="n">
        <x:v>45750.666666666664</x:v>
      </x:c>
      <x:c r="U186" s="30" t="str">
        <x:v>ejemplo@mail.com</x:v>
      </x:c>
      <x:c r="V186" s="30" t="str"/>
      <x:c r="W186" s="30" t="str">
        <x:v>+52 229 935 4559; +52 55 5563 2222</x:v>
      </x:c>
      <x:c r="X186" s="30" t="str"/>
      <x:c r="Y186" s="30" t="str">
        <x:v>+52 229 935 4559:状态1/类型3/WhatsApp2; +52 55 5563 2222:状态1/类型3/WhatsApp2</x:v>
      </x:c>
      <x:c r="Z186" s="30" t="str"/>
      <x:c r="AA186" s="30" t="str"/>
      <x:c r="AB186" s="30" t="str"/>
      <x:c r="AC186" s="30" t="str">
        <x:v>ejemplo@mail.com:0</x:v>
      </x:c>
      <x:c r="AD186" s="30" t="str">
        <x:v>Kitchen brush；Kitchen bowl</x:v>
      </x:c>
      <x:c r="AE186" s="30" t="str">
        <x:v>Kitchen；刷子；Bowl</x:v>
      </x:c>
      <x:c r="AF186" s="30" t="str">
        <x:v>SET 2 PIEZAS DE BROCHA Y BOWL PARA COCINA</x:v>
      </x:c>
      <x:c r="AG186" s="30" t="str">
        <x:v>Cooking brush；Cooking bowl；Kitchenware brush；Kitchenware bowl；Kitchen cleaning brush</x:v>
      </x:c>
      <x:c r="AH186" s="30" t="str">
        <x:v>塑料；金属；Wood；Ceramic；Glass</x:v>
      </x:c>
      <x:c r="AI186" s="30" t="str">
        <x:v>Home kitchen；Restaurant kitchen；Cafeteria kitchen；Hotel kitchen；Food processing kitchen</x:v>
      </x:c>
      <x:c r="AJ186" s="30" t="str">
        <x:v>刷子</x:v>
      </x:c>
      <x:c r="AK186" s="30" t="str">
        <x:v>expansion-search-brush-page-10</x:v>
      </x:c>
      <x:c r="AL186" s="30" t="str">
        <x:v>UpKuajing customs company contact API</x:v>
      </x:c>
      <x:c r="AM186" s="30" t="str"/>
      <x:c r="AN186" s="30" t="str"/>
      <x:c r="AO186" s="34" t="n">
        <x:v>46220</x:v>
      </x:c>
    </x:row>
    <x:row r="187" ht="44" customHeight="1">
      <x:c r="A187" s="30" t="str">
        <x:v>API联系方式已获取</x:v>
      </x:c>
      <x:c r="B187" s="30" t="str">
        <x:v>常规-全球</x:v>
      </x:c>
      <x:c r="C187" s="30" t="str">
        <x:v>遮蔽膜</x:v>
      </x:c>
      <x:c r="D187" s="31" t="str">
        <x:v>370961</x:v>
      </x:c>
      <x:c r="E187" s="30" t="str">
        <x:v>ajit industries pvt ltd.</x:v>
      </x:c>
      <x:c r="F187" s="30" t="str">
        <x:v>印度</x:v>
      </x:c>
      <x:c r="G187" s="30" t="str">
        <x:v>marketing@ajitindustries.com</x:v>
      </x:c>
      <x:c r="H187" s="30" t="str">
        <x:f>IF(ISNUMBER(SEARCH(":1",AC187)),"已验证有效",IF(ISNUMBER(SEARCH(":3",AC187)),"验证不确定",IF(ISNUMBER(SEARCH(":0",AC187)),"接口未能检测",IF(ISNUMBER(SEARCH(":2",AC187)),"判定无效",IF(V187&lt;&gt;"","官网已确认-未验证","无邮箱")))))</x:f>
        <x:v>已验证有效</x:v>
      </x:c>
      <x:c r="I187" s="30" t="str">
        <x:v>+91 11 4901 0101</x:v>
      </x:c>
      <x:c r="J187" s="30" t="str">
        <x:v>http://www.ajitindustries.com/</x:v>
      </x:c>
      <x:c r="K187" s="35" t="n">
        <x:f>ROUND((IF(H187="已验证有效",40,IF(V187&lt;&gt;"",20,0))+IF(ISNUMBER(SEARCH("状态1",Y187)),25,0)+IF(J187&lt;&gt;"",20,0)+IF(AA187&lt;&gt;"",15,0))/100,2)</x:f>
        <x:v>0.85</x:v>
      </x:c>
      <x:c r="L187" s="30" t="str">
        <x:v>待联系</x:v>
      </x:c>
      <x:c r="M187" s="30" t="str"/>
      <x:c r="N187" s="30" t="str">
        <x:v>414/415, d-mall, 4th floor, netaji subhash place,opposite wazirpur dtc depot, pitampura, delhi -110034, (india)</x:v>
      </x:c>
      <x:c r="O187" s="30" t="str"/>
      <x:c r="P187" s="30" t="str">
        <x:v>橙色，低速，涂布头，铝箔，线束，针，胶带分切，50微米，槽模，型，25，蓝色，黑色打印，笔，平芯，11，机器，自粘转印</x:v>
      </x:c>
      <x:c r="Q187" s="32" t="n">
        <x:v>10</x:v>
      </x:c>
      <x:c r="R187" s="32" t="n">
        <x:v>11268</x:v>
      </x:c>
      <x:c r="S187" s="33" t="n">
        <x:v>0.0009</x:v>
      </x:c>
      <x:c r="T187" s="34" t="n">
        <x:v>45819.666666666664</x:v>
      </x:c>
      <x:c r="U187" s="30" t="str">
        <x:v>aipl.sunsui@ajitindustries.com; marketing@ajitindustries.com</x:v>
      </x:c>
      <x:c r="V187" s="30" t="str"/>
      <x:c r="W187" s="30" t="str">
        <x:v>+91 11 4901 0101</x:v>
      </x:c>
      <x:c r="X187" s="30" t="str"/>
      <x:c r="Y187" s="30" t="str">
        <x:v>+91 11 4901 0101:状态1/类型1/WhatsApp2</x:v>
      </x:c>
      <x:c r="Z187" s="30" t="str"/>
      <x:c r="AA187" s="30" t="str"/>
      <x:c r="AB187" s="30" t="str"/>
      <x:c r="AC187" s="30" t="str">
        <x:v>aipl.sunsui@ajitindustries.com:2; marketing@ajitindustries.com:1</x:v>
      </x:c>
      <x:c r="AD187" s="30" t="str"/>
      <x:c r="AE187" s="30" t="str">
        <x:v>卷材；tria；遮蔽膜；arg；e roll</x:v>
      </x:c>
      <x:c r="AF187" s="30" t="str">
        <x:v>PE MASKING FILM IN LARGE ROLL SIZE: 2700MM*1600M (ROLL 600)(FOR INDUSTRIAL USE)PE MASKING FILM IN</x:v>
      </x:c>
      <x:c r="AG187" s="30" t="str"/>
      <x:c r="AH187" s="30" t="str"/>
      <x:c r="AI187" s="30" t="str"/>
      <x:c r="AJ187" s="30" t="str">
        <x:v>遮蔽膜</x:v>
      </x:c>
      <x:c r="AK187" s="30" t="str">
        <x:v>masking-film-buyers-exact-search</x:v>
      </x:c>
      <x:c r="AL187" s="30" t="str">
        <x:v>UpKuajing customs company contact API</x:v>
      </x:c>
      <x:c r="AM187" s="30" t="str"/>
      <x:c r="AN187" s="30" t="str"/>
      <x:c r="AO187" s="34" t="n">
        <x:v>46220</x:v>
      </x:c>
    </x:row>
    <x:row r="188" ht="44" customHeight="1">
      <x:c r="A188" s="30" t="str">
        <x:v>API联系方式已获取</x:v>
      </x:c>
      <x:c r="B188" s="30" t="str">
        <x:v>常规-全球</x:v>
      </x:c>
      <x:c r="C188" s="30" t="str">
        <x:v>遮蔽膜</x:v>
      </x:c>
      <x:c r="D188" s="31" t="str">
        <x:v>27951674</x:v>
      </x:c>
      <x:c r="E188" s="30" t="str">
        <x:v>PRIYANKA ENTERPRISE</x:v>
      </x:c>
      <x:c r="F188" s="30" t="str">
        <x:v>印度</x:v>
      </x:c>
      <x:c r="G188" s="30" t="str">
        <x:v>pryentp@hotmail.com</x:v>
      </x:c>
      <x:c r="H188" s="30" t="str">
        <x:f>IF(ISNUMBER(SEARCH(":1",AC188)),"已验证有效",IF(ISNUMBER(SEARCH(":3",AC188)),"验证不确定",IF(ISNUMBER(SEARCH(":0",AC188)),"接口未能检测",IF(ISNUMBER(SEARCH(":2",AC188)),"判定无效",IF(V188&lt;&gt;"","官网已确认-未验证","无邮箱")))))</x:f>
        <x:v>已验证有效</x:v>
      </x:c>
      <x:c r="I188" s="30" t="str">
        <x:v>+91 94250 08422</x:v>
      </x:c>
      <x:c r="J188" s="30" t="str">
        <x:v>modularfurniturebpl.com</x:v>
      </x:c>
      <x:c r="K188" s="35" t="n">
        <x:f>ROUND((IF(H188="已验证有效",40,IF(V188&lt;&gt;"",20,0))+IF(ISNUMBER(SEARCH("状态1",Y188)),25,0)+IF(J188&lt;&gt;"",20,0)+IF(AA188&lt;&gt;"",15,0))/100,2)</x:f>
        <x:v>1</x:v>
      </x:c>
      <x:c r="L188" s="30" t="str">
        <x:v>待联系</x:v>
      </x:c>
      <x:c r="M188" s="30" t="str"/>
      <x:c r="N188" s="30" t="str">
        <x:v>bhopal, madhya pradesh, india</x:v>
      </x:c>
      <x:c r="O188" s="30" t="str"/>
      <x:c r="P188" s="30" t="str">
        <x:v>暂无经营范围信息</x:v>
      </x:c>
      <x:c r="Q188" s="32" t="n">
        <x:v>10</x:v>
      </x:c>
      <x:c r="R188" s="32" t="n">
        <x:v>765</x:v>
      </x:c>
      <x:c r="S188" s="33" t="n">
        <x:v>0.0131</x:v>
      </x:c>
      <x:c r="T188" s="34" t="n">
        <x:v>45693.666666666664</x:v>
      </x:c>
      <x:c r="U188" s="30" t="str">
        <x:v>info@modularfurniturebpl.com; pryentp@hotmail.com</x:v>
      </x:c>
      <x:c r="V188" s="30" t="str"/>
      <x:c r="W188" s="30" t="str">
        <x:v>919425; +91 94250 08422; +91 94250 08433; +91 94250 26178</x:v>
      </x:c>
      <x:c r="X188" s="30" t="str"/>
      <x:c r="Y188" s="30" t="str">
        <x:v>919425:状态2/类型0/WhatsApp2; +91 94250 08422:状态1/类型2/WhatsApp1; +91 94250 08433:状态1/类型2/WhatsApp2; +91 94250 26178:状态1/类型2/WhatsApp1</x:v>
      </x:c>
      <x:c r="Z188" s="30" t="str">
        <x:v>+91 94250 08422; +91 94250 26178</x:v>
      </x:c>
      <x:c r="AA188" s="30" t="str">
        <x:v>https://www.facebook.com/pages/Priyanka-Enterprises/278369785647345; https://www.linkedin.com/company/priyanka-enterprise</x:v>
      </x:c>
      <x:c r="AB188" s="30" t="str"/>
      <x:c r="AC188" s="30" t="str">
        <x:v>info@modularfurniturebpl.com:2; pryentp@hotmail.com:1</x:v>
      </x:c>
      <x:c r="AD188" s="30" t="str">
        <x:v>预贴胶带遮蔽膜；遮蔽胶带</x:v>
      </x:c>
      <x:c r="AE188" s="30" t="str">
        <x:v>预贴胶带遮蔽膜；遮蔽胶带；高密度聚乙烯；收缩包装；彩色标签</x:v>
      </x:c>
      <x:c r="AF188" s="30" t="str">
        <x:v>PRETAPED MASKING FILM - 1M X 25M,PRETAPED MASKING FILM, HDPE, MASKING TAPE, EACH ROLL SHRINK WRAPPED WITH COLOR LABEL (2PRETAPED MASKING FILM - 1M X 25M,PRETAPED MASKING FILM, HDPE</x:v>
      </x:c>
      <x:c r="AG188" s="30" t="str">
        <x:v>带胶带遮蔽膜；预贴胶带遮蔽膜；自带胶遮蔽膜；HDPE遮蔽膜；带胶遮蔽片</x:v>
      </x:c>
      <x:c r="AH188" s="30" t="str">
        <x:v>高密度聚乙烯树脂；塑料添加剂；胶粘材料；聚合物原料；胶带基材</x:v>
      </x:c>
      <x:c r="AI188" s="30" t="str">
        <x:v>涂装行业；汽车修补涂装；建筑工程；家具制造；家居DIY</x:v>
      </x:c>
      <x:c r="AJ188" s="30" t="str">
        <x:v>遮蔽膜</x:v>
      </x:c>
      <x:c r="AK188" s="30" t="str">
        <x:v>masking-film-buyers-exact-search</x:v>
      </x:c>
      <x:c r="AL188" s="30" t="str">
        <x:v>UpKuajing customs company contact API</x:v>
      </x:c>
      <x:c r="AM188" s="30" t="str"/>
      <x:c r="AN188" s="30" t="str"/>
      <x:c r="AO188" s="34" t="n">
        <x:v>46220</x:v>
      </x:c>
    </x:row>
    <x:row r="189" ht="44" customHeight="1">
      <x:c r="A189" s="30" t="str">
        <x:v>API联系方式已获取</x:v>
      </x:c>
      <x:c r="B189" s="30" t="str">
        <x:v>常规-全球</x:v>
      </x:c>
      <x:c r="C189" s="30" t="str">
        <x:v>刷子</x:v>
      </x:c>
      <x:c r="D189" s="31" t="str">
        <x:v>20457998</x:v>
      </x:c>
      <x:c r="E189" s="30" t="str">
        <x:v>ROBERT BOSCH EAST AFRICA LIMITED</x:v>
      </x:c>
      <x:c r="F189" s="30" t="str">
        <x:v>肯尼亚</x:v>
      </x:c>
      <x:c r="G189" s="30" t="str">
        <x:v>ivy.gitau@ke.bosch.com</x:v>
      </x:c>
      <x:c r="H189" s="30" t="str">
        <x:f>IF(ISNUMBER(SEARCH(":1",AC189)),"已验证有效",IF(ISNUMBER(SEARCH(":3",AC189)),"验证不确定",IF(ISNUMBER(SEARCH(":0",AC189)),"接口未能检测",IF(ISNUMBER(SEARCH(":2",AC189)),"判定无效",IF(V189&lt;&gt;"","官网已确认-未验证","无邮箱")))))</x:f>
        <x:v>接口未能检测</x:v>
      </x:c>
      <x:c r="I189" s="30" t="str">
        <x:v>+254 20 3673165</x:v>
      </x:c>
      <x:c r="J189" s="30" t="str">
        <x:v>www.bosch.co.ke</x:v>
      </x:c>
      <x:c r="K189" s="35" t="n">
        <x:f>ROUND((IF(H189="已验证有效",40,IF(V189&lt;&gt;"",20,0))+IF(ISNUMBER(SEARCH("状态1",Y189)),25,0)+IF(J189&lt;&gt;"",20,0)+IF(AA189&lt;&gt;"",15,0))/100,2)</x:f>
        <x:v>0.6</x:v>
      </x:c>
      <x:c r="L189" s="30" t="str">
        <x:v>待联系</x:v>
      </x:c>
      <x:c r="M189" s="30" t="str"/>
      <x:c r="N189" s="30" t="str">
        <x:v>PLOT NO 209/1436 ESBC WILSON BUSINESS PARK , BLOCK BRAVO 12ND FLOOR OFF LANGATA ROAD</x:v>
      </x:c>
      <x:c r="O189" s="30" t="str"/>
      <x:c r="P189" s="30" t="str">
        <x:v>暂无经营范围信息</x:v>
      </x:c>
      <x:c r="Q189" s="32" t="n">
        <x:v>10</x:v>
      </x:c>
      <x:c r="R189" s="32" t="n">
        <x:v>3363</x:v>
      </x:c>
      <x:c r="S189" s="33" t="n">
        <x:v>0.003</x:v>
      </x:c>
      <x:c r="T189" s="34" t="n">
        <x:v>45775.666666666664</x:v>
      </x:c>
      <x:c r="U189" s="30" t="str">
        <x:v>ivy.gitau@ke.bosch.com</x:v>
      </x:c>
      <x:c r="V189" s="30" t="str"/>
      <x:c r="W189" s="30" t="str">
        <x:v>+254 20 3673165; +49 711 40040990</x:v>
      </x:c>
      <x:c r="X189" s="30" t="str"/>
      <x:c r="Y189" s="30" t="str">
        <x:v>+254 20 3673165:状态1/类型1/WhatsApp2; +49 711 40040990:状态1/类型1/WhatsApp2</x:v>
      </x:c>
      <x:c r="Z189" s="30" t="str"/>
      <x:c r="AA189" s="30" t="str">
        <x:v>https://www.facebook.com/BoschAfrica; https://www.facebook.com/BoschGlobal; https://www.instagram.com/boschglobal; https://www.linkedin.com/company/bosch; https://www.linkedin.com/company/boschafrica; https://twitter.com/BoschAfrica; https://twitter.com/BoschGlobal; https://www.youtube.com/BoschGlobal</x:v>
      </x:c>
      <x:c r="AB189" s="30" t="str"/>
      <x:c r="AC189" s="30" t="str">
        <x:v>ivy.gitau@ke.bosch.com:0</x:v>
      </x:c>
      <x:c r="AD189" s="30" t="str">
        <x:v>Cup Brush</x:v>
      </x:c>
      <x:c r="AE189" s="30" t="str">
        <x:v>Cup Brush；Bosch；Machine Parts；Appliance Parts；Vehicle Parts</x:v>
      </x:c>
      <x:c r="AF189" s="30" t="str">
        <x:v>BOSCH ONDULADO; Cup Brush; 60; 1; 0; OTHER BRUSHES CONSTITUTING PARTS OF MACHINES, APPLIANCES OR VEHICLES.</x:v>
      </x:c>
      <x:c r="AG189" s="30" t="str">
        <x:v>Cylindrical Brush；Rotary Brush；Scrub Brush；Cleaning Brush；Machine Brush</x:v>
      </x:c>
      <x:c r="AH189" s="30" t="str">
        <x:v>塑料；金属；Bristles；Fiber；橡胶</x:v>
      </x:c>
      <x:c r="AI189" s="30" t="str">
        <x:v>Industrial Machines；家用电器；Automobiles；Power Tools；Cleaning Equipment</x:v>
      </x:c>
      <x:c r="AJ189" s="30" t="str">
        <x:v>刷子</x:v>
      </x:c>
      <x:c r="AK189" s="30" t="str">
        <x:v>expansion-search-brush-page-09</x:v>
      </x:c>
      <x:c r="AL189" s="30" t="str">
        <x:v>UpKuajing customs company contact API</x:v>
      </x:c>
      <x:c r="AM189" s="30" t="str"/>
      <x:c r="AN189" s="30" t="str"/>
      <x:c r="AO189" s="34" t="n">
        <x:v>46220</x:v>
      </x:c>
    </x:row>
    <x:row r="190" ht="44" customHeight="1">
      <x:c r="A190" s="30" t="str">
        <x:v>API联系方式已获取</x:v>
      </x:c>
      <x:c r="B190" s="30" t="str">
        <x:v>常规-全球</x:v>
      </x:c>
      <x:c r="C190" s="30" t="str">
        <x:v>刷子</x:v>
      </x:c>
      <x:c r="D190" s="31" t="str">
        <x:v>20428354</x:v>
      </x:c>
      <x:c r="E190" s="30" t="str">
        <x:v>3M CHILE S A</x:v>
      </x:c>
      <x:c r="F190" s="30" t="str">
        <x:v>智利</x:v>
      </x:c>
      <x:c r="G190" s="30" t="str">
        <x:v>info@aas.cl</x:v>
      </x:c>
      <x:c r="H190" s="30" t="str">
        <x:f>IF(ISNUMBER(SEARCH(":1",AC190)),"已验证有效",IF(ISNUMBER(SEARCH(":3",AC190)),"验证不确定",IF(ISNUMBER(SEARCH(":0",AC190)),"接口未能检测",IF(ISNUMBER(SEARCH(":2",AC190)),"判定无效",IF(V190&lt;&gt;"","官网已确认-未验证","无邮箱")))))</x:f>
        <x:v>接口未能检测</x:v>
      </x:c>
      <x:c r="I190" s="30" t="str">
        <x:v>+56 32 299 3338</x:v>
      </x:c>
      <x:c r="J190" s="30" t="str">
        <x:v>www.3m.cl</x:v>
      </x:c>
      <x:c r="K190" s="35" t="n">
        <x:f>ROUND((IF(H190="已验证有效",40,IF(V190&lt;&gt;"",20,0))+IF(ISNUMBER(SEARCH("状态1",Y190)),25,0)+IF(J190&lt;&gt;"",20,0)+IF(AA190&lt;&gt;"",15,0))/100,2)</x:f>
        <x:v>0.6</x:v>
      </x:c>
      <x:c r="L190" s="30" t="str">
        <x:v>待联系</x:v>
      </x:c>
      <x:c r="M190" s="30" t="str"/>
      <x:c r="N190" s="30" t="str">
        <x:v>SANTA ISABEL 1001 , PROVIDENCIA</x:v>
      </x:c>
      <x:c r="O190" s="30" t="str"/>
      <x:c r="P190" s="30" t="str">
        <x:v>粘合剂、磨料、层压板、被动防火、牙科和正畸产品、电子材料、医疗产品、汽车护理产品（太阳膜、上光剂、蜡、洗车液、外部、内部和底盘防锈处理）、电子电路和光学薄膜</x:v>
      </x:c>
      <x:c r="Q190" s="32" t="n">
        <x:v>9</x:v>
      </x:c>
      <x:c r="R190" s="32" t="n">
        <x:v>38940</x:v>
      </x:c>
      <x:c r="S190" s="33" t="n">
        <x:v>0.0002</x:v>
      </x:c>
      <x:c r="T190" s="34" t="n">
        <x:v>45845.666666666664</x:v>
      </x:c>
      <x:c r="U190" s="30" t="str">
        <x:v>info@aas.cl</x:v>
      </x:c>
      <x:c r="V190" s="30" t="str"/>
      <x:c r="W190" s="30" t="str">
        <x:v>+56 32 299 3338</x:v>
      </x:c>
      <x:c r="X190" s="30" t="str"/>
      <x:c r="Y190" s="30" t="str">
        <x:v>+56 32 299 3338:状态1/类型3/WhatsApp2</x:v>
      </x:c>
      <x:c r="Z190" s="30" t="str"/>
      <x:c r="AA190" s="30" t="str">
        <x:v>https://www.facebook.com/3M; https://www.instagram.com/3mlatinoamerica; https://www.linkedin.com/company/3m; https://www.youtube.com/c/3MCorporate</x:v>
      </x:c>
      <x:c r="AB190" s="30" t="str"/>
      <x:c r="AC190" s="30" t="str">
        <x:v>info@aas.cl:0</x:v>
      </x:c>
      <x:c r="AD190" s="30" t="str">
        <x:v>Mechanical broom；刷子；Duster</x:v>
      </x:c>
      <x:c r="AE190" s="30" t="str">
        <x:v>Mechanical broom；刷子；Duster；Domestic use；Manual use</x:v>
      </x:c>
      <x:c r="AF190" s="30" t="str">
        <x:v>MOPA3MMF600-SP F1PARA USO DOMESTICO ESCOBAS MECANICAS USO MANUAL, PINCELES Y PLUMEROS</x:v>
      </x:c>
      <x:c r="AG190" s="30" t="str">
        <x:v>Household broom；Hand brush；House duster；Cleaning broom；Manual brush</x:v>
      </x:c>
      <x:c r="AH190" s="30" t="str">
        <x:v>Bristles；Wood；塑料；金属；Fiber</x:v>
      </x:c>
      <x:c r="AI190" s="30" t="str">
        <x:v>Home cleaning；Office cleaning；Hotel cleaning；School cleaning；Shop cleaning</x:v>
      </x:c>
      <x:c r="AJ190" s="30" t="str">
        <x:v>刷子</x:v>
      </x:c>
      <x:c r="AK190" s="30" t="str">
        <x:v>expansion-search-brush-page-02; expansion-search-brush-page-03</x:v>
      </x:c>
      <x:c r="AL190" s="30" t="str">
        <x:v>UpKuajing customs company contact API</x:v>
      </x:c>
      <x:c r="AM190" s="30" t="str"/>
      <x:c r="AN190" s="30" t="str"/>
      <x:c r="AO190" s="34" t="n">
        <x:v>46220</x:v>
      </x:c>
    </x:row>
    <x:row r="191" ht="44" customHeight="1">
      <x:c r="A191" s="30" t="str">
        <x:v>API联系方式已获取</x:v>
      </x:c>
      <x:c r="B191" s="30" t="str">
        <x:v>常规-全球</x:v>
      </x:c>
      <x:c r="C191" s="30" t="str">
        <x:v>油漆刷</x:v>
      </x:c>
      <x:c r="D191" s="31" t="str">
        <x:v>20239952</x:v>
      </x:c>
      <x:c r="E191" s="30" t="str">
        <x:v>BOBST INDIA PRIVATE LIMITED</x:v>
      </x:c>
      <x:c r="F191" s="30" t="str">
        <x:v>印度</x:v>
      </x:c>
      <x:c r="G191" s="30" t="str">
        <x:v>jayaram.shenoy@bobst.com</x:v>
      </x:c>
      <x:c r="H191" s="30" t="str">
        <x:f>IF(ISNUMBER(SEARCH(":1",AC191)),"已验证有效",IF(ISNUMBER(SEARCH(":3",AC191)),"验证不确定",IF(ISNUMBER(SEARCH(":0",AC191)),"接口未能检测",IF(ISNUMBER(SEARCH(":2",AC191)),"判定无效",IF(V191&lt;&gt;"","官网已确认-未验证","无邮箱")))))</x:f>
        <x:v>已验证有效</x:v>
      </x:c>
      <x:c r="I191" s="30" t="str"/>
      <x:c r="J191" s="30" t="str">
        <x:v>www.bobst.com</x:v>
      </x:c>
      <x:c r="K191" s="35" t="n">
        <x:f>ROUND((IF(H191="已验证有效",40,IF(V191&lt;&gt;"",20,0))+IF(ISNUMBER(SEARCH("状态1",Y191)),25,0)+IF(J191&lt;&gt;"",20,0)+IF(AA191&lt;&gt;"",15,0))/100,2)</x:f>
        <x:v>0.75</x:v>
      </x:c>
      <x:c r="L191" s="30" t="str">
        <x:v>待联系</x:v>
      </x:c>
      <x:c r="M191" s="30" t="str"/>
      <x:c r="N191" s="30" t="str">
        <x:v>GUT NO. 82 , 124, 126 TO 136 &amp;195 (PART) AT &amp; POST VILLAGE KASAR AMBOLI , GHOTAWADE ROAD, TAL - MULSHI, .PUNE</x:v>
      </x:c>
      <x:c r="O191" s="30" t="str"/>
      <x:c r="P191" s="30" t="str">
        <x:v>角锁下料系统、自动包装机、空白分离器、收集台、装载机、机器，-、和；商用压片机，夹胶机预喂料机、方便喂料机夹胶机预喂料机、涂布机和层压机、自动码垛机、自动码垛机</x:v>
      </x:c>
      <x:c r="Q191" s="32" t="n">
        <x:v>9</x:v>
      </x:c>
      <x:c r="R191" s="32" t="n">
        <x:v>22486</x:v>
      </x:c>
      <x:c r="S191" s="33" t="n">
        <x:v>0.0004</x:v>
      </x:c>
      <x:c r="T191" s="34" t="n">
        <x:v>45858.666666666664</x:v>
      </x:c>
      <x:c r="U191" s="30" t="str">
        <x:v>jayaram.shenoy@bobst.com</x:v>
      </x:c>
      <x:c r="V191" s="30" t="str"/>
      <x:c r="W191" s="30" t="str"/>
      <x:c r="X191" s="30" t="str"/>
      <x:c r="Y191" s="30" t="str"/>
      <x:c r="Z191" s="30" t="str"/>
      <x:c r="AA191" s="30" t="str">
        <x:v>https://www.linkedin.com/company/bobst; https://www.youtube.com/user/BobstGroup</x:v>
      </x:c>
      <x:c r="AB191" s="30" t="str"/>
      <x:c r="AC191" s="30" t="str">
        <x:v>jayaram.shenoy@bobst.com:1</x:v>
      </x:c>
      <x:c r="AD191" s="30" t="str"/>
      <x:c r="AE191" s="30" t="str"/>
      <x:c r="AF191" s="30" t="str">
        <x:v>PAINT BRUSH SERIES N 170 4-BSA1027005900 CIRCULAIRE PVC SNR 80150MM 4 RANGS ALESAGE 22MM PARTS FOR FO</x:v>
      </x:c>
      <x:c r="AG191" s="30" t="str"/>
      <x:c r="AH191" s="30" t="str"/>
      <x:c r="AI191" s="30" t="str"/>
      <x:c r="AJ191" s="30" t="str">
        <x:v>油漆刷</x:v>
      </x:c>
      <x:c r="AK191" s="30" t="str">
        <x:v>expansion-search-paint-brush-page-03</x:v>
      </x:c>
      <x:c r="AL191" s="30" t="str">
        <x:v>UpKuajing customs company contact API</x:v>
      </x:c>
      <x:c r="AM191" s="30" t="str"/>
      <x:c r="AN191" s="30" t="str"/>
      <x:c r="AO191" s="34" t="n">
        <x:v>46220</x:v>
      </x:c>
    </x:row>
    <x:row r="192" ht="44" customHeight="1">
      <x:c r="A192" s="30" t="str">
        <x:v>API联系方式已获取</x:v>
      </x:c>
      <x:c r="B192" s="30" t="str">
        <x:v>常规-全球</x:v>
      </x:c>
      <x:c r="C192" s="30" t="str">
        <x:v>刷子</x:v>
      </x:c>
      <x:c r="D192" s="31" t="str">
        <x:v>20462193</x:v>
      </x:c>
      <x:c r="E192" s="30" t="str">
        <x:v>GLOBAL MOTOR S A</x:v>
      </x:c>
      <x:c r="F192" s="30" t="str">
        <x:v>哥伦比亚</x:v>
      </x:c>
      <x:c r="G192" s="30" t="str">
        <x:v>comercial@globalmotor.net</x:v>
      </x:c>
      <x:c r="H192" s="30" t="str">
        <x:f>IF(ISNUMBER(SEARCH(":1",AC192)),"已验证有效",IF(ISNUMBER(SEARCH(":3",AC192)),"验证不确定",IF(ISNUMBER(SEARCH(":0",AC192)),"接口未能检测",IF(ISNUMBER(SEARCH(":2",AC192)),"判定无效",IF(V192&lt;&gt;"","官网已确认-未验证","无邮箱")))))</x:f>
        <x:v>已验证有效</x:v>
      </x:c>
      <x:c r="I192" s="30" t="str">
        <x:v>5717434500</x:v>
      </x:c>
      <x:c r="J192" s="30" t="str">
        <x:v>www.globalmotor.com.co</x:v>
      </x:c>
      <x:c r="K192" s="35" t="n">
        <x:f>ROUND((IF(H192="已验证有效",40,IF(V192&lt;&gt;"",20,0))+IF(ISNUMBER(SEARCH("状态1",Y192)),25,0)+IF(J192&lt;&gt;"",20,0)+IF(AA192&lt;&gt;"",15,0))/100,2)</x:f>
        <x:v>0.75</x:v>
      </x:c>
      <x:c r="L192" s="30" t="str">
        <x:v>待联系</x:v>
      </x:c>
      <x:c r="M192" s="30" t="str"/>
      <x:c r="N192" s="30" t="str">
        <x:v>69 B 27, CALLE 17 A</x:v>
      </x:c>
      <x:c r="O192" s="30" t="str"/>
      <x:c r="P192" s="30" t="str">
        <x:v>暂无经营范围信息</x:v>
      </x:c>
      <x:c r="Q192" s="32" t="n">
        <x:v>8</x:v>
      </x:c>
      <x:c r="R192" s="32" t="n">
        <x:v>5203</x:v>
      </x:c>
      <x:c r="S192" s="33" t="n">
        <x:v>0.0015</x:v>
      </x:c>
      <x:c r="T192" s="34" t="n">
        <x:v>45790.666666666664</x:v>
      </x:c>
      <x:c r="U192" s="30" t="str">
        <x:v>comercial@globalmotor.net</x:v>
      </x:c>
      <x:c r="V192" s="30" t="str"/>
      <x:c r="W192" s="30" t="str">
        <x:v>5717434500</x:v>
      </x:c>
      <x:c r="X192" s="30" t="str"/>
      <x:c r="Y192" s="30" t="str">
        <x:v>5717434500:状态2/类型0/WhatsApp2</x:v>
      </x:c>
      <x:c r="Z192" s="30" t="str"/>
      <x:c r="AA192" s="30" t="str">
        <x:v>https://www.facebook.com/globalmotor; https://www.youtube.com/user/globalmotor1</x:v>
      </x:c>
      <x:c r="AB192" s="30" t="str"/>
      <x:c r="AC192" s="30" t="str">
        <x:v>comercial@globalmotor.net:1</x:v>
      </x:c>
      <x:c r="AD192" s="30" t="str">
        <x:v>Trailer for brush cutter</x:v>
      </x:c>
      <x:c r="AE192" s="30" t="str">
        <x:v>Trailer；Brush cutter</x:v>
      </x:c>
      <x:c r="AF192" s="30" t="str">
        <x:v>DO 902504726-001 PEDIDO TRAMITE: IMP241101-2 DECLARACION 2-2 MERCANCIA NUEVA SIN REGISTRO DE IMPORTACION DE ACUERDO A DECRETO 0925 DE 2013; FACTURA: CO-GMR24-002-2 FECHA: 2025-02-26 ITEM 5 TRAILERS TRM-600; PRODUCTO: REMOLQUE PARA MOTOAZADA, USO: PARA...</x:v>
      </x:c>
      <x:c r="AG192" s="30" t="str">
        <x:v>Brush cutter trailer；Trailer for brush mower；Mower trailer；Brush cutter carrier；Trailer for grass cutter</x:v>
      </x:c>
      <x:c r="AH192" s="30" t="str">
        <x:v>Steel；Aluminum；橡胶；塑料；Glass</x:v>
      </x:c>
      <x:c r="AI192" s="30" t="str">
        <x:v>Agricultural work；Gardening；Landscaping；Forestry；Brush clearing</x:v>
      </x:c>
      <x:c r="AJ192" s="30" t="str">
        <x:v>刷子</x:v>
      </x:c>
      <x:c r="AK192" s="30" t="str">
        <x:v>expansion-search-brush-page-10</x:v>
      </x:c>
      <x:c r="AL192" s="30" t="str">
        <x:v>UpKuajing customs company contact API</x:v>
      </x:c>
      <x:c r="AM192" s="30" t="str"/>
      <x:c r="AN192" s="30" t="str"/>
      <x:c r="AO192" s="34" t="n">
        <x:v>46220</x:v>
      </x:c>
    </x:row>
    <x:row r="193" ht="44" customHeight="1">
      <x:c r="A193" s="30" t="str">
        <x:v>API联系方式已获取</x:v>
      </x:c>
      <x:c r="B193" s="30" t="str">
        <x:v>常规-全球</x:v>
      </x:c>
      <x:c r="C193" s="30" t="str">
        <x:v>刷子</x:v>
      </x:c>
      <x:c r="D193" s="31" t="str">
        <x:v>20428563</x:v>
      </x:c>
      <x:c r="E193" s="30" t="str">
        <x:v>MARINA SILCER SA DE CV</x:v>
      </x:c>
      <x:c r="F193" s="30" t="str">
        <x:v>墨西哥</x:v>
      </x:c>
      <x:c r="G193" s="30" t="str">
        <x:v>contacto@marinasilcer.com</x:v>
      </x:c>
      <x:c r="H193" s="30" t="str">
        <x:f>IF(ISNUMBER(SEARCH(":1",AC193)),"已验证有效",IF(ISNUMBER(SEARCH(":3",AC193)),"验证不确定",IF(ISNUMBER(SEARCH(":0",AC193)),"接口未能检测",IF(ISNUMBER(SEARCH(":2",AC193)),"判定无效",IF(V193&lt;&gt;"","官网已确认-未验证","无邮箱")))))</x:f>
        <x:v>接口未能检测</x:v>
      </x:c>
      <x:c r="I193" s="30" t="str">
        <x:v>+52 999 103 2833</x:v>
      </x:c>
      <x:c r="J193" s="30" t="str">
        <x:v>www.marinasilcer.com</x:v>
      </x:c>
      <x:c r="K193" s="35" t="n">
        <x:f>ROUND((IF(H193="已验证有效",40,IF(V193&lt;&gt;"",20,0))+IF(ISNUMBER(SEARCH("状态1",Y193)),25,0)+IF(J193&lt;&gt;"",20,0)+IF(AA193&lt;&gt;"",15,0))/100,2)</x:f>
        <x:v>0.6</x:v>
      </x:c>
      <x:c r="L193" s="30" t="str">
        <x:v>待联系</x:v>
      </x:c>
      <x:c r="M193" s="30" t="str"/>
      <x:c r="N193" s="30" t="str">
        <x:v>CALLE NUEVA CARRETERA PROGRESO-CHELEM 5155</x:v>
      </x:c>
      <x:c r="O193" s="30" t="str"/>
      <x:c r="P193" s="30" t="str">
        <x:v>暂无经营范围信息</x:v>
      </x:c>
      <x:c r="Q193" s="32" t="n">
        <x:v>8</x:v>
      </x:c>
      <x:c r="R193" s="32" t="n">
        <x:v>9319</x:v>
      </x:c>
      <x:c r="S193" s="33" t="n">
        <x:v>0.0009</x:v>
      </x:c>
      <x:c r="T193" s="34" t="n">
        <x:v>45854.666666666664</x:v>
      </x:c>
      <x:c r="U193" s="30" t="str">
        <x:v>contacto@marinasilcer.com; contacto@silcer.com; contacto@silcer.com.mx</x:v>
      </x:c>
      <x:c r="V193" s="30" t="str"/>
      <x:c r="W193" s="30" t="str">
        <x:v>+52 999 103 2833</x:v>
      </x:c>
      <x:c r="X193" s="30" t="str"/>
      <x:c r="Y193" s="30" t="str">
        <x:v>+52 999 103 2833:状态1/类型3/WhatsApp2</x:v>
      </x:c>
      <x:c r="Z193" s="30" t="str"/>
      <x:c r="AA193" s="30" t="str">
        <x:v>https://www.linkedin.com/company/corporacion-silcer-sac</x:v>
      </x:c>
      <x:c r="AB193" s="30" t="str"/>
      <x:c r="AC193" s="30" t="str">
        <x:v>contacto@marinasilcer.com:0; contacto@silcer.com:0; contacto@silcer.com.mx:0</x:v>
      </x:c>
      <x:c r="AD193" s="30" t="str">
        <x:v>Plastic bristle brush</x:v>
      </x:c>
      <x:c r="AE193" s="30" t="str">
        <x:v>刷子；塑料；Bristle</x:v>
      </x:c>
      <x:c r="AF193" s="30" t="str">
        <x:v>CEPILLOS DE CERDAS PLASTICAS</x:v>
      </x:c>
      <x:c r="AG193" s="30" t="str">
        <x:v>Plastic brush；Bristle brush；Cleaning brush；Plastic bristle cleaning brush；Brush with plastic bristles</x:v>
      </x:c>
      <x:c r="AH193" s="30" t="str">
        <x:v>塑料树脂；Bristle material；Molding equipment；着色剂；Lubricant</x:v>
      </x:c>
      <x:c r="AI193" s="30" t="str">
        <x:v>Household cleaning；Industrial cleaning；Automotive cleaning；Pet grooming；Art and craft</x:v>
      </x:c>
      <x:c r="AJ193" s="30" t="str">
        <x:v>刷子</x:v>
      </x:c>
      <x:c r="AK193" s="30" t="str">
        <x:v>expansion-search-brush-page-02; expansion-search-brush-page-03</x:v>
      </x:c>
      <x:c r="AL193" s="30" t="str">
        <x:v>UpKuajing customs company contact API</x:v>
      </x:c>
      <x:c r="AM193" s="30" t="str"/>
      <x:c r="AN193" s="30" t="str"/>
      <x:c r="AO193" s="34" t="n">
        <x:v>46220</x:v>
      </x:c>
    </x:row>
    <x:row r="194" ht="44" customHeight="1">
      <x:c r="A194" s="30" t="str">
        <x:v>API联系方式已获取</x:v>
      </x:c>
      <x:c r="B194" s="30" t="str">
        <x:v>常规-全球</x:v>
      </x:c>
      <x:c r="C194" s="30" t="str">
        <x:v>刷子</x:v>
      </x:c>
      <x:c r="D194" s="31" t="str">
        <x:v>20428156</x:v>
      </x:c>
      <x:c r="E194" s="30" t="str">
        <x:v>PRICESMART COLOMBIA S A S</x:v>
      </x:c>
      <x:c r="F194" s="30" t="str">
        <x:v>哥伦比亚</x:v>
      </x:c>
      <x:c r="G194" s="30" t="str">
        <x:v>legalcolombia@pricesmart.com</x:v>
      </x:c>
      <x:c r="H194" s="30" t="str">
        <x:f>IF(ISNUMBER(SEARCH(":1",AC194)),"已验证有效",IF(ISNUMBER(SEARCH(":3",AC194)),"验证不确定",IF(ISNUMBER(SEARCH(":0",AC194)),"接口未能检测",IF(ISNUMBER(SEARCH(":2",AC194)),"判定无效",IF(V194&lt;&gt;"","官网已确认-未验证","无邮箱")))))</x:f>
        <x:v>已验证有效</x:v>
      </x:c>
      <x:c r="I194" s="30" t="str">
        <x:v>5717424114</x:v>
      </x:c>
      <x:c r="J194" s="30" t="str">
        <x:v>shop.pricesmart.com</x:v>
      </x:c>
      <x:c r="K194" s="35" t="n">
        <x:f>ROUND((IF(H194="已验证有效",40,IF(V194&lt;&gt;"",20,0))+IF(ISNUMBER(SEARCH("状态1",Y194)),25,0)+IF(J194&lt;&gt;"",20,0)+IF(AA194&lt;&gt;"",15,0))/100,2)</x:f>
        <x:v>0.6</x:v>
      </x:c>
      <x:c r="L194" s="30" t="str">
        <x:v>待联系</x:v>
      </x:c>
      <x:c r="M194" s="30" t="str"/>
      <x:c r="N194" s="30" t="str">
        <x:v>CALLE 26 71 A 16 OFICINAS ADMINISTRATIVAS</x:v>
      </x:c>
      <x:c r="O194" s="30" t="str"/>
      <x:c r="P194" s="30" t="str">
        <x:v>会员仓俱乐部（消费电子；电脑；婴儿用品；汽车用品；体育用品；户外装备；五金制品；玩具游戏；家用电器；家庭用品；床浴用品；箱包；保健品；家具；办公用品；时尚配饰；餐厅/机构产品）</x:v>
      </x:c>
      <x:c r="Q194" s="32" t="n">
        <x:v>8</x:v>
      </x:c>
      <x:c r="R194" s="32" t="n">
        <x:v>97781</x:v>
      </x:c>
      <x:c r="S194" s="33" t="n">
        <x:v>0.0001</x:v>
      </x:c>
      <x:c r="T194" s="34" t="n">
        <x:v>45571.666666666664</x:v>
      </x:c>
      <x:c r="U194" s="30" t="str">
        <x:v>legalcolombia@pricesmart.com</x:v>
      </x:c>
      <x:c r="V194" s="30" t="str"/>
      <x:c r="W194" s="30" t="str">
        <x:v>5717424114</x:v>
      </x:c>
      <x:c r="X194" s="30" t="str"/>
      <x:c r="Y194" s="30" t="str">
        <x:v>5717424114:状态2/类型0/WhatsApp2</x:v>
      </x:c>
      <x:c r="Z194" s="30" t="str"/>
      <x:c r="AA194" s="30" t="str"/>
      <x:c r="AB194" s="30" t="str"/>
      <x:c r="AC194" s="30" t="str">
        <x:v>legalcolombia@pricesmart.com:1</x:v>
      </x:c>
      <x:c r="AD194" s="30" t="str">
        <x:v>Other brushes, brooms, mops and squeegees</x:v>
      </x:c>
      <x:c r="AE194" s="30" t="str">
        <x:v>刷子</x:v>
      </x:c>
      <x:c r="AF194" s="30" t="str">
        <x:v>DO 042024086059 CODIGO / RESOLUCION OEA IMPORTADOR: 000930; PEDIDO TRAMITE: SMLU7882926 DECLARACION(7-24) NOS ACOGEMOS A LA RESOLUCION CONJUNTA DEL MINISTERIO COMERCIO, INDUSTRIA Y TURISMO, DIAN 057 DEL 2015.//. FACTURA: 13542529 FECHA: 2024-09-19 CANT...</x:v>
      </x:c>
      <x:c r="AG194" s="30" t="str">
        <x:v>Broom；Mop；Squeegee；Scrub Brush；Duster</x:v>
      </x:c>
      <x:c r="AH194" s="30" t="str">
        <x:v>塑料；Wood；金属；Fiber；橡胶</x:v>
      </x:c>
      <x:c r="AI194" s="30" t="str">
        <x:v>Household Cleaning；Industrial Cleaning；Commercial Cleaning；Automotive Cleaning；Office Cleaning</x:v>
      </x:c>
      <x:c r="AJ194" s="30" t="str">
        <x:v>刷子</x:v>
      </x:c>
      <x:c r="AK194" s="30" t="str">
        <x:v>expansion-search-brush-page-02; expansion-search-brush-page-03</x:v>
      </x:c>
      <x:c r="AL194" s="30" t="str">
        <x:v>UpKuajing customs company contact API</x:v>
      </x:c>
      <x:c r="AM194" s="30" t="str"/>
      <x:c r="AN194" s="30" t="str"/>
      <x:c r="AO194" s="34" t="n">
        <x:v>46220</x:v>
      </x:c>
    </x:row>
    <x:row r="195" ht="44" customHeight="1">
      <x:c r="A195" s="30" t="str">
        <x:v>API联系方式已获取</x:v>
      </x:c>
      <x:c r="B195" s="30" t="str">
        <x:v>常规-全球</x:v>
      </x:c>
      <x:c r="C195" s="30" t="str">
        <x:v>刷子</x:v>
      </x:c>
      <x:c r="D195" s="31" t="str">
        <x:v>20440873</x:v>
      </x:c>
      <x:c r="E195" s="30" t="str">
        <x:v>USHA FASTENERS PRIVATE LIMITED</x:v>
      </x:c>
      <x:c r="F195" s="30" t="str">
        <x:v>印度</x:v>
      </x:c>
      <x:c r="G195" s="30" t="str">
        <x:v>bhardwajnaresh@hotmail.com</x:v>
      </x:c>
      <x:c r="H195" s="30" t="str">
        <x:f>IF(ISNUMBER(SEARCH(":1",AC195)),"已验证有效",IF(ISNUMBER(SEARCH(":3",AC195)),"验证不确定",IF(ISNUMBER(SEARCH(":0",AC195)),"接口未能检测",IF(ISNUMBER(SEARCH(":2",AC195)),"判定无效",IF(V195&lt;&gt;"","官网已确认-未验证","无邮箱")))))</x:f>
        <x:v>已验证有效</x:v>
      </x:c>
      <x:c r="I195" s="30" t="str">
        <x:v>+91 124 425 2970</x:v>
      </x:c>
      <x:c r="J195" s="30" t="str">
        <x:v>www.ushafasteners.com</x:v>
      </x:c>
      <x:c r="K195" s="35" t="n">
        <x:f>ROUND((IF(H195="已验证有效",40,IF(V195&lt;&gt;"",20,0))+IF(ISNUMBER(SEARCH("状态1",Y195)),25,0)+IF(J195&lt;&gt;"",20,0)+IF(AA195&lt;&gt;"",15,0))/100,2)</x:f>
        <x:v>0.85</x:v>
      </x:c>
      <x:c r="L195" s="30" t="str">
        <x:v>待联系</x:v>
      </x:c>
      <x:c r="M195" s="30" t="str"/>
      <x:c r="N195" s="30" t="str">
        <x:v>4695, LANE RAZIA BEGUM HAUS QAZI</x:v>
      </x:c>
      <x:c r="O195" s="30" t="str"/>
      <x:c r="P195" s="30" t="str">
        <x:v>暂无经营范围信息</x:v>
      </x:c>
      <x:c r="Q195" s="32" t="n">
        <x:v>8</x:v>
      </x:c>
      <x:c r="R195" s="32" t="n">
        <x:v>4956</x:v>
      </x:c>
      <x:c r="S195" s="33" t="n">
        <x:v>0.0016</x:v>
      </x:c>
      <x:c r="T195" s="34" t="n">
        <x:v>45858.666666666664</x:v>
      </x:c>
      <x:c r="U195" s="30" t="str">
        <x:v>bhardwajnaresh@hotmail.com; sales@ushafasteners.com</x:v>
      </x:c>
      <x:c r="V195" s="30" t="str"/>
      <x:c r="W195" s="30" t="str">
        <x:v>911244; +91 124 425 2970; 91124425297071</x:v>
      </x:c>
      <x:c r="X195" s="30" t="str"/>
      <x:c r="Y195" s="30" t="str">
        <x:v>911244:状态2/类型0/WhatsApp2; +91 124 425 2970:状态1/类型1/WhatsApp2; 91124425297071:状态2/类型0/WhatsApp2</x:v>
      </x:c>
      <x:c r="Z195" s="30" t="str"/>
      <x:c r="AA195" s="30" t="str"/>
      <x:c r="AB195" s="30" t="str"/>
      <x:c r="AC195" s="30" t="str">
        <x:v>bhardwajnaresh@hotmail.com:1; sales@ushafasteners.com:1</x:v>
      </x:c>
      <x:c r="AD195" s="30" t="str">
        <x:v>Cup brush</x:v>
      </x:c>
      <x:c r="AE195" s="30" t="str">
        <x:v>Cup brush；Wire</x:v>
      </x:c>
      <x:c r="AF195" s="30" t="str">
        <x:v>CUP BRUSH 65 MM, KNOTTED WIRE POSITION 3(V6801-65)(4047728067683)CUP BRUSH 65 MM, KNOTTED WIRE POSITION 3(V6801-65)(404772806</x:v>
      </x:c>
      <x:c r="AG195" s="30" t="str">
        <x:v>Wire cup brush；Rotary cup brush；Scrubbing cup brush；Cleaning cup brush；Polishing cup brush</x:v>
      </x:c>
      <x:c r="AH195" s="30" t="str">
        <x:v>Wire；金属；Steel；Alloy；塑料</x:v>
      </x:c>
      <x:c r="AI195" s="30" t="str">
        <x:v>Automotive industry；Metalworking；Woodworking；建筑施工；Maintenance</x:v>
      </x:c>
      <x:c r="AJ195" s="30" t="str">
        <x:v>刷子</x:v>
      </x:c>
      <x:c r="AK195" s="30" t="str">
        <x:v>expansion-search-brush-page-06</x:v>
      </x:c>
      <x:c r="AL195" s="30" t="str">
        <x:v>UpKuajing customs company contact API</x:v>
      </x:c>
      <x:c r="AM195" s="30" t="str"/>
      <x:c r="AN195" s="30" t="str"/>
      <x:c r="AO195" s="34" t="n">
        <x:v>46220</x:v>
      </x:c>
    </x:row>
    <x:row r="196" ht="44" customHeight="1">
      <x:c r="A196" s="30" t="str">
        <x:v>API联系方式已获取</x:v>
      </x:c>
      <x:c r="B196" s="30" t="str">
        <x:v>常规-全球</x:v>
      </x:c>
      <x:c r="C196" s="30" t="str">
        <x:v>羊毛刷</x:v>
      </x:c>
      <x:c r="D196" s="31" t="str">
        <x:v>27401</x:v>
      </x:c>
      <x:c r="E196" s="30" t="str">
        <x:v>abrasivos especiales s.a.de c.v.</x:v>
      </x:c>
      <x:c r="F196" s="30" t="str">
        <x:v>墨西哥</x:v>
      </x:c>
      <x:c r="G196" s="30" t="str">
        <x:v>servicioaclientes@austromex.com.mx</x:v>
      </x:c>
      <x:c r="H196" s="30" t="str">
        <x:f>IF(ISNUMBER(SEARCH(":1",AC196)),"已验证有效",IF(ISNUMBER(SEARCH(":3",AC196)),"验证不确定",IF(ISNUMBER(SEARCH(":0",AC196)),"接口未能检测",IF(ISNUMBER(SEARCH(":2",AC196)),"判定无效",IF(V196&lt;&gt;"","官网已确认-未验证","无邮箱")))))</x:f>
        <x:v>已验证有效</x:v>
      </x:c>
      <x:c r="I196" s="30" t="str">
        <x:v>+52 55 5557 1966</x:v>
      </x:c>
      <x:c r="J196" s="30" t="str">
        <x:v>http://www.austromex.com.mx/</x:v>
      </x:c>
      <x:c r="K196" s="35" t="n">
        <x:f>ROUND((IF(H196="已验证有效",40,IF(V196&lt;&gt;"",20,0))+IF(ISNUMBER(SEARCH("状态1",Y196)),25,0)+IF(J196&lt;&gt;"",20,0)+IF(AA196&lt;&gt;"",15,0))/100,2)</x:f>
        <x:v>0.85</x:v>
      </x:c>
      <x:c r="L196" s="30" t="str">
        <x:v>待联系</x:v>
      </x:c>
      <x:c r="M196" s="30" t="str"/>
      <x:c r="N196" s="30" t="str"/>
      <x:c r="O196" s="30" t="str"/>
      <x:c r="P196" s="30" t="str">
        <x:v>车辆，车轮，8，工具，切削工具，托盘，汽车备件，抛光垫，鳕鱼，刷子，环，运费预付，风扇，迪斯科，定制，美孚，刷子，光盘，机</x:v>
      </x:c>
      <x:c r="Q196" s="32" t="n">
        <x:v>7</x:v>
      </x:c>
      <x:c r="R196" s="32" t="n">
        <x:v>38130</x:v>
      </x:c>
      <x:c r="S196" s="33" t="n">
        <x:v>0.0002</x:v>
      </x:c>
      <x:c r="T196" s="34" t="n">
        <x:v>45881.666666666664</x:v>
      </x:c>
      <x:c r="U196" s="30" t="str">
        <x:v>servicioaclientes@austromex.com.mx</x:v>
      </x:c>
      <x:c r="V196" s="30" t="str"/>
      <x:c r="W196" s="30" t="str">
        <x:v>+52 55 5557 1966</x:v>
      </x:c>
      <x:c r="X196" s="30" t="str"/>
      <x:c r="Y196" s="30" t="str">
        <x:v>+52 55 5557 1966:状态1/类型3/WhatsApp2</x:v>
      </x:c>
      <x:c r="Z196" s="30" t="str"/>
      <x:c r="AA196" s="30" t="str"/>
      <x:c r="AB196" s="30" t="str"/>
      <x:c r="AC196" s="30" t="str">
        <x:v>servicioaclientes@austromex.com.mx:1</x:v>
      </x:c>
      <x:c r="AD196" s="30" t="str">
        <x:v>Felt polishing flap brush</x:v>
      </x:c>
      <x:c r="AE196" s="30" t="str">
        <x:v>Felt；Wool；Polishing；Flap brush</x:v>
      </x:c>
      <x:c r="AF196" s="30" t="str">
        <x:v>RUEDA FLAP DE FELPA DE LANA PARA PULIDO CON VASTAGO FELT POLISHING FLAP BRUSH TYPE FFB 3 X 1 X 1 4 SOFT D3 H25</x:v>
      </x:c>
      <x:c r="AG196" s="30" t="str">
        <x:v>Felt flap brush；Wool felt brush；Polishing felt brush；Flap polishing brush；Felt FFB brush</x:v>
      </x:c>
      <x:c r="AH196" s="30" t="str">
        <x:v>Felt material；Wool fiber；Brush handle；Polishing agent；胶粘剂</x:v>
      </x:c>
      <x:c r="AI196" s="30" t="str">
        <x:v>Metal polishing；Wood finishing；Automotive detailing；Jewelry making；家具制造</x:v>
      </x:c>
      <x:c r="AJ196" s="30" t="str">
        <x:v>羊毛刷</x:v>
      </x:c>
      <x:c r="AK196" s="30" t="str">
        <x:v>expansion-search-wool-brush-page-01</x:v>
      </x:c>
      <x:c r="AL196" s="30" t="str">
        <x:v>UpKuajing customs company contact API</x:v>
      </x:c>
      <x:c r="AM196" s="30" t="str"/>
      <x:c r="AN196" s="30" t="str"/>
      <x:c r="AO196" s="34" t="n">
        <x:v>46220</x:v>
      </x:c>
    </x:row>
    <x:row r="197" ht="44" customHeight="1">
      <x:c r="A197" s="30" t="str">
        <x:v>API联系方式已获取</x:v>
      </x:c>
      <x:c r="B197" s="30" t="str">
        <x:v>常规-全球</x:v>
      </x:c>
      <x:c r="C197" s="30" t="str">
        <x:v>PVC护角条</x:v>
      </x:c>
      <x:c r="D197" s="31" t="str">
        <x:v>184913</x:v>
      </x:c>
      <x:c r="E197" s="30" t="str">
        <x:v>công ty cổ phần kosmos việt nam</x:v>
      </x:c>
      <x:c r="F197" s="30" t="str">
        <x:v>越南</x:v>
      </x:c>
      <x:c r="G197" s="30" t="str">
        <x:v>quanghuywf@gmail.com</x:v>
      </x:c>
      <x:c r="H197" s="30" t="str">
        <x:f>IF(ISNUMBER(SEARCH(":1",AC197)),"已验证有效",IF(ISNUMBER(SEARCH(":3",AC197)),"验证不确定",IF(ISNUMBER(SEARCH(":0",AC197)),"接口未能检测",IF(ISNUMBER(SEARCH(":2",AC197)),"判定无效",IF(V197&lt;&gt;"","官网已确认-未验证","无邮箱")))))</x:f>
        <x:v>已验证有效</x:v>
      </x:c>
      <x:c r="I197" s="30" t="str"/>
      <x:c r="J197" s="30" t="str"/>
      <x:c r="K197" s="35" t="n">
        <x:f>ROUND((IF(H197="已验证有效",40,IF(V197&lt;&gt;"",20,0))+IF(ISNUMBER(SEARCH("状态1",Y197)),25,0)+IF(J197&lt;&gt;"",20,0)+IF(AA197&lt;&gt;"",15,0))/100,2)</x:f>
        <x:v>0.4</x:v>
      </x:c>
      <x:c r="L197" s="30" t="str">
        <x:v>待联系</x:v>
      </x:c>
      <x:c r="M197" s="30" t="str"/>
      <x:c r="N197" s="30" t="str">
        <x:v>469 cộng hòa, p. 15, q. tân bình,tp. hồ chí minh (tphcm)</x:v>
      </x:c>
      <x:c r="O197" s="30" t="str"/>
      <x:c r="P197" s="30" t="str">
        <x:v>毛毡、聚氨酯、箱包、硬质塑料、聚酯、铝合金、保温板、中密度纤维板、麻袋、铝棒、层压木沙龙桌、塑料板、木制家具、多孔笔、商业广告材料、不锈钢、纤维板、防火板</x:v>
      </x:c>
      <x:c r="Q197" s="32" t="n">
        <x:v>7</x:v>
      </x:c>
      <x:c r="R197" s="32" t="n">
        <x:v>3014</x:v>
      </x:c>
      <x:c r="S197" s="33" t="n">
        <x:v>0.0023</x:v>
      </x:c>
      <x:c r="T197" s="34" t="n">
        <x:v>45912.666666666664</x:v>
      </x:c>
      <x:c r="U197" s="30" t="str">
        <x:v>quanghuywf@gmail.com</x:v>
      </x:c>
      <x:c r="V197" s="30" t="str"/>
      <x:c r="W197" s="30" t="str"/>
      <x:c r="X197" s="30" t="str"/>
      <x:c r="Y197" s="30" t="str"/>
      <x:c r="Z197" s="30" t="str"/>
      <x:c r="AA197" s="30" t="str"/>
      <x:c r="AB197" s="30" t="str"/>
      <x:c r="AC197" s="30" t="str">
        <x:v>quanghuywf@gmail.com:1</x:v>
      </x:c>
      <x:c r="AD197" s="30" t="str">
        <x:v>PVC护角条；PVC Corner Trim</x:v>
      </x:c>
      <x:c r="AE197" s="30" t="str">
        <x:v>PVC；corner bead；decoration；Corner trim；Decoration</x:v>
      </x:c>
      <x:c r="AF197" s="30" t="str">
        <x:v>Thanh nẹp góc âm bằng nhựa PVC, không tự dính, Model: GA-905, kích thước ( 3000x40x20) mm, dạng tấm rời để lắp ghép,không in hình, không in chữ, hiệu Galawood. Hàng mới 100%; Thanh nẹp góc âm bằng nhựa PVC, không tự dính, Model: GA-908, kích thước (3000x40x20) mm, dạng tấm rời để lắp ghép,không in hình, không in chữ, hiệu Galawood. Hàng mới 100%</x:v>
      </x:c>
      <x:c r="AG197" s="30" t="str">
        <x:v>PVC corner trim；PVC angle bead；Plastic corner bead；PVC edge protector；PVC corner molding；PVC edge trim；PVC护角条；PVC corner strip；PVC corner profile</x:v>
      </x:c>
      <x:c r="AH197" s="30" t="str">
        <x:v>PVC resin；增塑剂；Stabilizer；Filler；Pigment</x:v>
      </x:c>
      <x:c r="AI197" s="30" t="str">
        <x:v>Interior decoration；Building construction；家具制造；Wall finishing；Ceiling installation；建筑施工；DIY项目；Renovation</x:v>
      </x:c>
      <x:c r="AJ197" s="30" t="str">
        <x:v>PVC护角条</x:v>
      </x:c>
      <x:c r="AK197" s="30" t="str">
        <x:v>expansion-search-pvc-corner-bead-page-01; expansion-search-pvc-corner-protector-page-01</x:v>
      </x:c>
      <x:c r="AL197" s="30" t="str">
        <x:v>UpKuajing customs company contact API</x:v>
      </x:c>
      <x:c r="AM197" s="30" t="str"/>
      <x:c r="AN197" s="30" t="str"/>
      <x:c r="AO197" s="34" t="n">
        <x:v>46220</x:v>
      </x:c>
    </x:row>
    <x:row r="198" ht="44" customHeight="1">
      <x:c r="A198" s="30" t="str">
        <x:v>API联系方式已获取</x:v>
      </x:c>
      <x:c r="B198" s="30" t="str">
        <x:v>常规-全球</x:v>
      </x:c>
      <x:c r="C198" s="30" t="str">
        <x:v>遮蔽膜</x:v>
      </x:c>
      <x:c r="D198" s="31" t="str">
        <x:v>20199535</x:v>
      </x:c>
      <x:c r="E198" s="30" t="str">
        <x:v>GRINDWELL NORTON LIMITED</x:v>
      </x:c>
      <x:c r="F198" s="30" t="str">
        <x:v>印度</x:v>
      </x:c>
      <x:c r="G198" s="30" t="str">
        <x:v>sharecmpt.gno@saint-gobain.com</x:v>
      </x:c>
      <x:c r="H198" s="30" t="str">
        <x:f>IF(ISNUMBER(SEARCH(":1",AC198)),"已验证有效",IF(ISNUMBER(SEARCH(":3",AC198)),"验证不确定",IF(ISNUMBER(SEARCH(":0",AC198)),"接口未能检测",IF(ISNUMBER(SEARCH(":2",AC198)),"判定无效",IF(V198&lt;&gt;"","官网已确认-未验证","无邮箱")))))</x:f>
        <x:v>已验证有效</x:v>
      </x:c>
      <x:c r="I198" s="30" t="str">
        <x:v>+91 22 4021 2121</x:v>
      </x:c>
      <x:c r="J198" s="30" t="str">
        <x:v>www.grindwellnorton.com</x:v>
      </x:c>
      <x:c r="K198" s="35" t="n">
        <x:f>ROUND((IF(H198="已验证有效",40,IF(V198&lt;&gt;"",20,0))+IF(ISNUMBER(SEARCH("状态1",Y198)),25,0)+IF(J198&lt;&gt;"",20,0)+IF(AA198&lt;&gt;"",15,0))/100,2)</x:f>
        <x:v>1</x:v>
      </x:c>
      <x:c r="L198" s="30" t="str">
        <x:v>待联系</x:v>
      </x:c>
      <x:c r="M198" s="30" t="str"/>
      <x:c r="N198" s="30" t="str">
        <x:v>ARMY &amp; NAVY BUILDING , 148, M G ROAD</x:v>
      </x:c>
      <x:c r="O198" s="30" t="str"/>
      <x:c r="P198" s="30" t="str">
        <x:v>磨料、陶瓷、塑料制品</x:v>
      </x:c>
      <x:c r="Q198" s="32" t="n">
        <x:v>7</x:v>
      </x:c>
      <x:c r="R198" s="32" t="n">
        <x:v>50228</x:v>
      </x:c>
      <x:c r="S198" s="33" t="n">
        <x:v>0.0001</x:v>
      </x:c>
      <x:c r="T198" s="34" t="n">
        <x:v>45833.666666666664</x:v>
      </x:c>
      <x:c r="U198" s="30" t="str">
        <x:v>sharecmpt.gno@saint-gobain.com</x:v>
      </x:c>
      <x:c r="V198" s="30" t="str"/>
      <x:c r="W198" s="30" t="str">
        <x:v>00975261212261166; 01204061800899; 016124236502425851; 0202551089193; 0222723002126; 0224013257825852590; 04027713040; 065722254152228432; 07104676464; 079400399010203; 0802559400425587248; 08030978888; 0877228573135; 098050253045; +91 22 4021 2121; 9327266444</x:v>
      </x:c>
      <x:c r="X198" s="30" t="str"/>
      <x:c r="Y198" s="30" t="str">
        <x:v>00975261212261166:状态2/类型0/WhatsApp0; 01204061800899:状态2/类型0/WhatsApp0; 016124236502425851:状态2/类型0/WhatsApp0; 0202551089193:状态2/类型0/WhatsApp0; 0222723002126:状态2/类型0/WhatsApp0; 0224013257825852590:状态2/类型0/WhatsApp0; 04027713040:状态2/类型1/WhatsApp0; 065722254152228432:状态2/类型0/WhatsApp0; 07104676464:状态2/类型0/WhatsApp0; 079400399010203:状态2/类型0/WhatsApp0; 0802559400425587248:状态2/类型0/WhatsApp0; 08030978888:状态2/类型0/WhatsApp0; 0877228573135:状态2/类型0/WhatsApp0; 098050253045:状态2/类型0/WhatsApp0; +91 22 4021 2121:状态1/类型1/WhatsApp2; 9327266444:状态2/类型0/WhatsApp2</x:v>
      </x:c>
      <x:c r="Z198" s="30" t="str"/>
      <x:c r="AA198" s="30" t="str">
        <x:v>https://www.facebook.com/saintgobaingroup; https://www.linkedin.com/company/grindwell-norton-ltd; https://www.linkedin.com/company/saint-gobain-group-india; https://www.pinterest.com/saintgobainnews; https://www.youtube.com/user/SaintGobainTV</x:v>
      </x:c>
      <x:c r="AB198" s="30" t="str"/>
      <x:c r="AC198" s="30" t="str">
        <x:v>sharecmpt.gno@saint-gobain.com:1</x:v>
      </x:c>
      <x:c r="AD198" s="30" t="str">
        <x:v>塑料遮蔽膜</x:v>
      </x:c>
      <x:c r="AE198" s="30" t="str">
        <x:v>塑料；遮蔽膜；制造用途</x:v>
      </x:c>
      <x:c r="AF198" s="30" t="str">
        <x:v>PLASTIC MASKING FILM 9MIC X 4M X 150M 66254455280 600ROLLS (FOR MFG USE)PLASTIC MASKING FILM 9MIC X 4M X 150M 66254455280 600ROLLS (</x:v>
      </x:c>
      <x:c r="AG198" s="30" t="str">
        <x:v>塑料遮蔽膜；塑料遮蔽片材；塑料保护膜；薄膜遮蔽；塑料覆盖膜</x:v>
      </x:c>
      <x:c r="AH198" s="30" t="str">
        <x:v>塑料树脂；聚合物；添加剂；增塑剂；着色剂</x:v>
      </x:c>
      <x:c r="AI198" s="30" t="str">
        <x:v>汽车涂装；家具制造；电子装配；建筑施工；印刷</x:v>
      </x:c>
      <x:c r="AJ198" s="30" t="str">
        <x:v>遮蔽膜</x:v>
      </x:c>
      <x:c r="AK198" s="30" t="str">
        <x:v>masking-film-buyers-exact-search</x:v>
      </x:c>
      <x:c r="AL198" s="30" t="str">
        <x:v>UpKuajing customs company contact API</x:v>
      </x:c>
      <x:c r="AM198" s="30" t="str"/>
      <x:c r="AN198" s="30" t="str"/>
      <x:c r="AO198" s="34" t="n">
        <x:v>46220</x:v>
      </x:c>
    </x:row>
    <x:row r="199" ht="44" customHeight="1">
      <x:c r="A199" s="30" t="str">
        <x:v>API联系方式已获取</x:v>
      </x:c>
      <x:c r="B199" s="30" t="str">
        <x:v>常规-全球</x:v>
      </x:c>
      <x:c r="C199" s="30" t="str">
        <x:v>遮蔽膜</x:v>
      </x:c>
      <x:c r="D199" s="31" t="str">
        <x:v>168017</x:v>
      </x:c>
      <x:c r="E199" s="30" t="str">
        <x:v>grindwell norton ltd</x:v>
      </x:c>
      <x:c r="F199" s="30" t="str">
        <x:v>未标明</x:v>
      </x:c>
      <x:c r="G199" s="30" t="str">
        <x:v>bonded.gno@saint-gobain.com</x:v>
      </x:c>
      <x:c r="H199" s="30" t="str">
        <x:f>IF(ISNUMBER(SEARCH(":1",AC199)),"已验证有效",IF(ISNUMBER(SEARCH(":3",AC199)),"验证不确定",IF(ISNUMBER(SEARCH(":0",AC199)),"接口未能检测",IF(ISNUMBER(SEARCH(":2",AC199)),"判定无效",IF(V199&lt;&gt;"","官网已确认-未验证","无邮箱")))))</x:f>
        <x:v>已验证有效</x:v>
      </x:c>
      <x:c r="I199" s="30" t="str">
        <x:v>+91 22 4021 2121</x:v>
      </x:c>
      <x:c r="J199" s="30" t="str">
        <x:v>http://www.grindwellnorton.co.in/</x:v>
      </x:c>
      <x:c r="K199" s="35" t="n">
        <x:f>ROUND((IF(H199="已验证有效",40,IF(V199&lt;&gt;"",20,0))+IF(ISNUMBER(SEARCH("状态1",Y199)),25,0)+IF(J199&lt;&gt;"",20,0)+IF(AA199&lt;&gt;"",15,0))/100,2)</x:f>
        <x:v>0.85</x:v>
      </x:c>
      <x:c r="L199" s="30" t="str">
        <x:v>待联系</x:v>
      </x:c>
      <x:c r="M199" s="30" t="str"/>
      <x:c r="N199" s="30" t="str">
        <x:v>leela business park, 5th level, andheri-kurla road, andheri (e), mumbai - 400059.</x:v>
      </x:c>
      <x:c r="O199" s="30" t="str"/>
      <x:c r="P199" s="30" t="str">
        <x:v>插入螺母，螺母，臂，钻头，敷料棒，7，雨，手动工具，膨胀泡沫，80目，亮原白色，型，啤酒厂软管，光滑盖，聚乙烯蜡乳液，型</x:v>
      </x:c>
      <x:c r="Q199" s="32" t="n">
        <x:v>7</x:v>
      </x:c>
      <x:c r="R199" s="32" t="n">
        <x:v>151651</x:v>
      </x:c>
      <x:c r="S199" s="33" t="n">
        <x:v>0</x:v>
      </x:c>
      <x:c r="T199" s="34" t="n">
        <x:v>45833.666666666664</x:v>
      </x:c>
      <x:c r="U199" s="30" t="str">
        <x:v>bonded.gno@saint-gobain.com</x:v>
      </x:c>
      <x:c r="V199" s="30" t="str"/>
      <x:c r="W199" s="30" t="str">
        <x:v>+91 22 4021 2121</x:v>
      </x:c>
      <x:c r="X199" s="30" t="str"/>
      <x:c r="Y199" s="30" t="str">
        <x:v>+91 22 4021 2121:状态1/类型1/WhatsApp2</x:v>
      </x:c>
      <x:c r="Z199" s="30" t="str"/>
      <x:c r="AA199" s="30" t="str"/>
      <x:c r="AB199" s="30" t="str"/>
      <x:c r="AC199" s="30" t="str">
        <x:v>bonded.gno@saint-gobain.com:1</x:v>
      </x:c>
      <x:c r="AD199" s="30" t="str">
        <x:v>塑料遮蔽膜</x:v>
      </x:c>
      <x:c r="AE199" s="30" t="str">
        <x:v>塑料；遮蔽膜；制造用途</x:v>
      </x:c>
      <x:c r="AF199" s="30" t="str">
        <x:v>PLASTIC MASKING FILM 9MIC X 4M X 150M 66254455280 600ROLLS (FOR MFG USE)PLASTIC MASKING FILM 9MIC X 4M X 150M 66254455280 600ROLLS (</x:v>
      </x:c>
      <x:c r="AG199" s="30" t="str">
        <x:v>塑料遮蔽膜；塑料遮蔽片；塑料保护膜；遮蔽用薄膜；塑料遮蔽片</x:v>
      </x:c>
      <x:c r="AH199" s="30" t="str">
        <x:v>塑料树脂；聚合物；添加剂；塑料原料；塑料配混料</x:v>
      </x:c>
      <x:c r="AI199" s="30" t="str">
        <x:v>汽车涂装；家具制造；电子生产；建筑涂装；金属表面处理</x:v>
      </x:c>
      <x:c r="AJ199" s="30" t="str">
        <x:v>遮蔽膜</x:v>
      </x:c>
      <x:c r="AK199" s="30" t="str">
        <x:v>masking-film-buyers-exact-search</x:v>
      </x:c>
      <x:c r="AL199" s="30" t="str">
        <x:v>UpKuajing customs company contact API</x:v>
      </x:c>
      <x:c r="AM199" s="30" t="str"/>
      <x:c r="AN199" s="30" t="str"/>
      <x:c r="AO199" s="34" t="n">
        <x:v>46220</x:v>
      </x:c>
    </x:row>
    <x:row r="200" ht="44" customHeight="1">
      <x:c r="A200" s="30" t="str">
        <x:v>API联系方式已获取</x:v>
      </x:c>
      <x:c r="B200" s="30" t="str">
        <x:v>常规-全球</x:v>
      </x:c>
      <x:c r="C200" s="30" t="str">
        <x:v>刷子</x:v>
      </x:c>
      <x:c r="D200" s="31" t="str">
        <x:v>20455300</x:v>
      </x:c>
      <x:c r="E200" s="30" t="str">
        <x:v>ISUZU EAST AFRICA LIMITED</x:v>
      </x:c>
      <x:c r="F200" s="30" t="str">
        <x:v>肯尼亚</x:v>
      </x:c>
      <x:c r="G200" s="30" t="str">
        <x:v>communications@isuzu.co.ke</x:v>
      </x:c>
      <x:c r="H200" s="30" t="str">
        <x:f>IF(ISNUMBER(SEARCH(":1",AC200)),"已验证有效",IF(ISNUMBER(SEARCH(":3",AC200)),"验证不确定",IF(ISNUMBER(SEARCH(":0",AC200)),"接口未能检测",IF(ISNUMBER(SEARCH(":2",AC200)),"判定无效",IF(V200&lt;&gt;"","官网已确认-未验证","无邮箱")))))</x:f>
        <x:v>接口未能检测</x:v>
      </x:c>
      <x:c r="I200" s="30" t="str">
        <x:v>+254 20 6936000</x:v>
      </x:c>
      <x:c r="J200" s="30" t="str">
        <x:v>www.isuzu.co.jp/world/index.html</x:v>
      </x:c>
      <x:c r="K200" s="35" t="n">
        <x:f>ROUND((IF(H200="已验证有效",40,IF(V200&lt;&gt;"",20,0))+IF(ISNUMBER(SEARCH("状态1",Y200)),25,0)+IF(J200&lt;&gt;"",20,0)+IF(AA200&lt;&gt;"",15,0))/100,2)</x:f>
        <x:v>0.6</x:v>
      </x:c>
      <x:c r="L200" s="30" t="str">
        <x:v>待联系</x:v>
      </x:c>
      <x:c r="M200" s="30" t="str"/>
      <x:c r="N200" s="30" t="str">
        <x:v>LR. NO. 12270 ,  MOMBASA/ENTERPRISE ROAD JUNCTION</x:v>
      </x:c>
      <x:c r="O200" s="30" t="str"/>
      <x:c r="P200" s="30" t="str">
        <x:v>机动车辆和机动车辆零部件和用品（全新汽车、二手车、汽车脚垫、车头灯、档位旋钮、皮革护腿、手刹手柄、不锈钢门槛保护装置、座套、汽车点车顶盒、侧中继器和指示灯、车身套件和汽车护理产品）</x:v>
      </x:c>
      <x:c r="Q200" s="32" t="n">
        <x:v>7</x:v>
      </x:c>
      <x:c r="R200" s="32" t="n">
        <x:v>33819</x:v>
      </x:c>
      <x:c r="S200" s="33" t="n">
        <x:v>0.0002</x:v>
      </x:c>
      <x:c r="T200" s="34" t="n">
        <x:v>45796.666666666664</x:v>
      </x:c>
      <x:c r="U200" s="30" t="str">
        <x:v>communications@isuzu.co.ke</x:v>
      </x:c>
      <x:c r="V200" s="30" t="str"/>
      <x:c r="W200" s="30" t="str">
        <x:v>+254 20 6936000</x:v>
      </x:c>
      <x:c r="X200" s="30" t="str"/>
      <x:c r="Y200" s="30" t="str">
        <x:v>+254 20 6936000:状态1/类型1/WhatsApp2</x:v>
      </x:c>
      <x:c r="Z200" s="30" t="str"/>
      <x:c r="AA200" s="30" t="str">
        <x:v>https://www.facebook.com/BusinessDailyAfrica; https://www.instagram.com/bdafrica_ke; https://twitter.com/BD_Africa; https://www.youtube.com/user/businessdailyafrica</x:v>
      </x:c>
      <x:c r="AB200" s="30" t="str"/>
      <x:c r="AC200" s="30" t="str">
        <x:v>communications@isuzu.co.ke:0</x:v>
      </x:c>
      <x:c r="AD200" s="30" t="str">
        <x:v>Holder；Brush Starter/Case；Pinion, Starter；Spacer；Starter/Coil；Field, Starter</x:v>
      </x:c>
      <x:c r="AE200" s="30" t="str">
        <x:v>Holder；Brush Starter；Pinion；Spacer；Starter Coil；Field Starter；Electrical ignition；Starting equipment</x:v>
      </x:c>
      <x:c r="AF200" s="30" t="str">
        <x:v>HOLDER; BRUSH STARTER/CASE; PINION,STARTER; SPACER; STARTER/COIL; FIELD,STARTER/; ISUZU MOTORS INTERNATIONAL FZE; 8973509470; 1; 9; 2025; 3.82; 1; PARTS OF ELECTRICAL IGNITION OR STARTING EQUIPMENT OF A KIND USED FOR SPARK-IGNITION IN COMPRESSION-IGNI...</x:v>
      </x:c>
      <x:c r="AG200" s="30" t="str">
        <x:v>Ignition part；Starting component；Engine starter part；Electrical starter accessory；Spark-ignition starter part</x:v>
      </x:c>
      <x:c r="AH200" s="30" t="str">
        <x:v>金属；Copper；塑料；Magnet；Insulating material</x:v>
      </x:c>
      <x:c r="AI200" s="30" t="str">
        <x:v>Automobiles；Motorcycles；Generators；Marine engines；Industrial engines</x:v>
      </x:c>
      <x:c r="AJ200" s="30" t="str">
        <x:v>刷子</x:v>
      </x:c>
      <x:c r="AK200" s="30" t="str">
        <x:v>expansion-search-brush-page-09</x:v>
      </x:c>
      <x:c r="AL200" s="30" t="str">
        <x:v>UpKuajing customs company contact API</x:v>
      </x:c>
      <x:c r="AM200" s="30" t="str"/>
      <x:c r="AN200" s="30" t="str"/>
      <x:c r="AO200" s="34" t="n">
        <x:v>46220</x:v>
      </x:c>
    </x:row>
    <x:row r="201" ht="44" customHeight="1">
      <x:c r="A201" s="30" t="str">
        <x:v>API联系方式已获取</x:v>
      </x:c>
      <x:c r="B201" s="30" t="str">
        <x:v>常规-全球</x:v>
      </x:c>
      <x:c r="C201" s="30" t="str">
        <x:v>刷子</x:v>
      </x:c>
      <x:c r="D201" s="31" t="str">
        <x:v>20432069</x:v>
      </x:c>
      <x:c r="E201" s="30" t="str">
        <x:v>IVOCLAR VIVADENT MARKETING (INDIA) PRIVATE LIMITED</x:v>
      </x:c>
      <x:c r="F201" s="30" t="str">
        <x:v>印度</x:v>
      </x:c>
      <x:c r="G201" s="30" t="str">
        <x:v>deepak.tiwari@ivoclarvivadent.com</x:v>
      </x:c>
      <x:c r="H201" s="30" t="str">
        <x:f>IF(ISNUMBER(SEARCH(":1",AC201)),"已验证有效",IF(ISNUMBER(SEARCH(":3",AC201)),"验证不确定",IF(ISNUMBER(SEARCH(":0",AC201)),"接口未能检测",IF(ISNUMBER(SEARCH(":2",AC201)),"判定无效",IF(V201&lt;&gt;"","官网已确认-未验证","无邮箱")))))</x:f>
        <x:v>已验证有效</x:v>
      </x:c>
      <x:c r="I201" s="30" t="str">
        <x:v>+91 22 2673 0302</x:v>
      </x:c>
      <x:c r="J201" s="30" t="str">
        <x:v>www.ivoclarvivadent.in</x:v>
      </x:c>
      <x:c r="K201" s="35" t="n">
        <x:f>ROUND((IF(H201="已验证有效",40,IF(V201&lt;&gt;"",20,0))+IF(ISNUMBER(SEARCH("状态1",Y201)),25,0)+IF(J201&lt;&gt;"",20,0)+IF(AA201&lt;&gt;"",15,0))/100,2)</x:f>
        <x:v>1</x:v>
      </x:c>
      <x:c r="L201" s="30" t="str">
        <x:v>待联系</x:v>
      </x:c>
      <x:c r="M201" s="30" t="str"/>
      <x:c r="N201" s="30" t="str">
        <x:v>NO. 824/825/826/827, EIGHH FLOOR, TOWER A, EMMAR DIGITAL GREEN, SECTOR-61, GOLF EXTENSION</x:v>
      </x:c>
      <x:c r="O201" s="30" t="str"/>
      <x:c r="P201" s="30" t="str">
        <x:v>暂无经营范围信息</x:v>
      </x:c>
      <x:c r="Q201" s="32" t="n">
        <x:v>7</x:v>
      </x:c>
      <x:c r="R201" s="32" t="n">
        <x:v>23348</x:v>
      </x:c>
      <x:c r="S201" s="33" t="n">
        <x:v>0.0003</x:v>
      </x:c>
      <x:c r="T201" s="34" t="n">
        <x:v>45860.666666666664</x:v>
      </x:c>
      <x:c r="U201" s="30" t="str">
        <x:v>204000x2500px16@2x.webp; deepak.tiwari@ivoclarvivadent.com</x:v>
      </x:c>
      <x:c r="V201" s="30" t="str"/>
      <x:c r="W201" s="30" t="str">
        <x:v>+91 22 2673 0302</x:v>
      </x:c>
      <x:c r="X201" s="30" t="str"/>
      <x:c r="Y201" s="30" t="str">
        <x:v>+91 22 2673 0302:状态1/类型1/WhatsApp2</x:v>
      </x:c>
      <x:c r="Z201" s="30" t="str"/>
      <x:c r="AA201" s="30" t="str">
        <x:v>https://www.instagram.com/ivoclar; https://www.linkedin.com/company/ivoclar-emea; https://www.youtube.com/c/Ivoclar-global</x:v>
      </x:c>
      <x:c r="AB201" s="30" t="str"/>
      <x:c r="AC201" s="30" t="str">
        <x:v>204000x2500px16@2x.webp:0; deepak.tiwari@ivoclarvivadent.com:1</x:v>
      </x:c>
      <x:c r="AD201" s="30" t="str">
        <x:v>IPS Ceramic Sep. Liq.</x:v>
      </x:c>
      <x:c r="AE201" s="30" t="str">
        <x:v>Ceramic；Dental products</x:v>
      </x:c>
      <x:c r="AF201" s="30" t="str">
        <x:v>593403 IPS Ceramic Sep. Liq. w. Brush 15 ml(FOR DENTAL PRODUCTS)(FOR DENTAL PRODUCTS)</x:v>
      </x:c>
      <x:c r="AG201" s="30" t="str">
        <x:v>Ceramic Separating Liquid；Dental Ceramic Separator；IPS Ceramic Solution；Ceramic Dental Liquid；Separating Liquid for Ceramics</x:v>
      </x:c>
      <x:c r="AH201" s="30" t="str">
        <x:v>Ceramic raw materials；Chemical solvents；Separating agents；刷子；Dental additives</x:v>
      </x:c>
      <x:c r="AI201" s="30" t="str">
        <x:v>Dental crowns；Dental bridges；Dental implants；Dental inlays；Dental onlays</x:v>
      </x:c>
      <x:c r="AJ201" s="30" t="str">
        <x:v>刷子</x:v>
      </x:c>
      <x:c r="AK201" s="30" t="str">
        <x:v>expansion-search-brush-page-04; expansion-search-brush-page-05</x:v>
      </x:c>
      <x:c r="AL201" s="30" t="str">
        <x:v>UpKuajing customs company contact API</x:v>
      </x:c>
      <x:c r="AM201" s="30" t="str"/>
      <x:c r="AN201" s="30" t="str"/>
      <x:c r="AO201" s="34" t="n">
        <x:v>46220</x:v>
      </x:c>
    </x:row>
    <x:row r="202" ht="44" customHeight="1">
      <x:c r="A202" s="30" t="str">
        <x:v>API联系方式已获取</x:v>
      </x:c>
      <x:c r="B202" s="30" t="str">
        <x:v>常规-全球</x:v>
      </x:c>
      <x:c r="C202" s="30" t="str">
        <x:v>刷子</x:v>
      </x:c>
      <x:c r="D202" s="31" t="str">
        <x:v>20453208</x:v>
      </x:c>
      <x:c r="E202" s="30" t="str">
        <x:v>SALINAS Y FABRES SOCIEDAD ANONIMA</x:v>
      </x:c>
      <x:c r="F202" s="30" t="str">
        <x:v>智利</x:v>
      </x:c>
      <x:c r="G202" s="30" t="str">
        <x:v>salfa@salfa.cl</x:v>
      </x:c>
      <x:c r="H202" s="30" t="str">
        <x:f>IF(ISNUMBER(SEARCH(":1",AC202)),"已验证有效",IF(ISNUMBER(SEARCH(":3",AC202)),"验证不确定",IF(ISNUMBER(SEARCH(":0",AC202)),"接口未能检测",IF(ISNUMBER(SEARCH(":2",AC202)),"判定无效",IF(V202&lt;&gt;"","官网已确认-未验证","无邮箱")))))</x:f>
        <x:v>已验证有效</x:v>
      </x:c>
      <x:c r="I202" s="30" t="str">
        <x:v>+56 2 2810 9198</x:v>
      </x:c>
      <x:c r="J202" s="30" t="str">
        <x:v>www.salfa.cl</x:v>
      </x:c>
      <x:c r="K202" s="35" t="n">
        <x:f>ROUND((IF(H202="已验证有效",40,IF(V202&lt;&gt;"",20,0))+IF(ISNUMBER(SEARCH("状态1",Y202)),25,0)+IF(J202&lt;&gt;"",20,0)+IF(AA202&lt;&gt;"",15,0))/100,2)</x:f>
        <x:v>1</x:v>
      </x:c>
      <x:c r="L202" s="30" t="str">
        <x:v>待联系</x:v>
      </x:c>
      <x:c r="M202" s="30" t="str"/>
      <x:c r="N202" s="30" t="str">
        <x:v>GENERAL RONDIZZONI 2130</x:v>
      </x:c>
      <x:c r="O202" s="30" t="str"/>
      <x:c r="P202" s="30" t="str">
        <x:v>机动车辆及机动车辆零部件和用品；机动车辆的保养和维修</x:v>
      </x:c>
      <x:c r="Q202" s="32" t="n">
        <x:v>7</x:v>
      </x:c>
      <x:c r="R202" s="32" t="n">
        <x:v>77073</x:v>
      </x:c>
      <x:c r="S202" s="33" t="n">
        <x:v>0.0001</x:v>
      </x:c>
      <x:c r="T202" s="34" t="n">
        <x:v>45722.666666666664</x:v>
      </x:c>
      <x:c r="U202" s="30" t="str">
        <x:v>salfa@salfa.cl</x:v>
      </x:c>
      <x:c r="V202" s="30" t="str"/>
      <x:c r="W202" s="30" t="str">
        <x:v>+56 2 2810 9198</x:v>
      </x:c>
      <x:c r="X202" s="30" t="str"/>
      <x:c r="Y202" s="30" t="str">
        <x:v>+56 2 2810 9198:状态1/类型3/WhatsApp2</x:v>
      </x:c>
      <x:c r="Z202" s="30" t="str"/>
      <x:c r="AA202" s="30" t="str">
        <x:v>https://www.facebook.com/salfachile; https://www.instagram.com/salfachile; https://www.linkedin.com/company/salfachile; https://www.youtube.com/channel/UCuh-axVCOnyatSGx0bUcU0A</x:v>
      </x:c>
      <x:c r="AB202" s="30" t="str"/>
      <x:c r="AC202" s="30" t="str">
        <x:v>salfa@salfa.cl:1</x:v>
      </x:c>
      <x:c r="AD202" s="30" t="str">
        <x:v>Forestry machinery brush；Machine parts brush；Vehicle parts brush</x:v>
      </x:c>
      <x:c r="AE202" s="30" t="str">
        <x:v>金属；刷子；Forestry machinery；Machine parts；Vehicle parts</x:v>
      </x:c>
      <x:c r="AF202" s="30" t="str">
        <x:v>CEPILLOWARATAHDE METALPARA MAQUINARIA FORESTAL LOS DEMAS CEPILLOS QUE CONSTITUYAN PARTES DE MAQUINAS, APARATOS O DE VEHICULOS</x:v>
      </x:c>
      <x:c r="AG202" s="30" t="str">
        <x:v>Scrubber；Cleaning brush；Industrial brush；Mechanical brush；Automotive brush</x:v>
      </x:c>
      <x:c r="AH202" s="30" t="str">
        <x:v>Metal materials；Brush bristles；Plastic components；Adhesives；Fasteners</x:v>
      </x:c>
      <x:c r="AI202" s="30" t="str">
        <x:v>Forestry equipment；Industrial machinery；Automobiles；Agricultural vehicles；Construction machinery</x:v>
      </x:c>
      <x:c r="AJ202" s="30" t="str">
        <x:v>刷子</x:v>
      </x:c>
      <x:c r="AK202" s="30" t="str">
        <x:v>expansion-search-brush-page-08; expansion-search-brush-page-09</x:v>
      </x:c>
      <x:c r="AL202" s="30" t="str">
        <x:v>UpKuajing customs company contact API</x:v>
      </x:c>
      <x:c r="AM202" s="30" t="str"/>
      <x:c r="AN202" s="30" t="str"/>
      <x:c r="AO202" s="34" t="n">
        <x:v>46220</x:v>
      </x:c>
    </x:row>
    <x:row r="203" ht="44" customHeight="1">
      <x:c r="A203" s="30" t="str">
        <x:v>API联系方式已获取</x:v>
      </x:c>
      <x:c r="B203" s="30" t="str">
        <x:v>常规-全球</x:v>
      </x:c>
      <x:c r="C203" s="30" t="str">
        <x:v>遮蔽膜</x:v>
      </x:c>
      <x:c r="D203" s="31" t="str">
        <x:v>22315229</x:v>
      </x:c>
      <x:c r="E203" s="30" t="str">
        <x:v>STARCKE ABRASIVES INDIA PRIVATE LIMITED</x:v>
      </x:c>
      <x:c r="F203" s="30" t="str">
        <x:v>印度</x:v>
      </x:c>
      <x:c r="G203" s="30" t="str">
        <x:v>accounts@starcke.in</x:v>
      </x:c>
      <x:c r="H203" s="30" t="str">
        <x:f>IF(ISNUMBER(SEARCH(":1",AC203)),"已验证有效",IF(ISNUMBER(SEARCH(":3",AC203)),"验证不确定",IF(ISNUMBER(SEARCH(":0",AC203)),"接口未能检测",IF(ISNUMBER(SEARCH(":2",AC203)),"判定无效",IF(V203&lt;&gt;"","官网已确认-未验证","无邮箱")))))</x:f>
        <x:v>已验证有效</x:v>
      </x:c>
      <x:c r="I203" s="30" t="str"/>
      <x:c r="J203" s="30" t="str">
        <x:v>www.starckeindia.com</x:v>
      </x:c>
      <x:c r="K203" s="35" t="n">
        <x:f>ROUND((IF(H203="已验证有效",40,IF(V203&lt;&gt;"",20,0))+IF(ISNUMBER(SEARCH("状态1",Y203)),25,0)+IF(J203&lt;&gt;"",20,0)+IF(AA203&lt;&gt;"",15,0))/100,2)</x:f>
        <x:v>0.6</x:v>
      </x:c>
      <x:c r="L203" s="30" t="str">
        <x:v>待联系</x:v>
      </x:c>
      <x:c r="M203" s="30" t="str"/>
      <x:c r="N203" s="30" t="str">
        <x:v>SACRED TOWER , SOUTH BLOCK 513 &amp; 514 , SURVEY NO. 75/2, WANOWARIE</x:v>
      </x:c>
      <x:c r="O203" s="30" t="str"/>
      <x:c r="P203" s="30" t="str">
        <x:v>带有纸和布背衬的片材和条带，适用于所有手动打磨和便携式机器打磨应用</x:v>
      </x:c>
      <x:c r="Q203" s="32" t="n">
        <x:v>7</x:v>
      </x:c>
      <x:c r="R203" s="32" t="n">
        <x:v>8522</x:v>
      </x:c>
      <x:c r="S203" s="33" t="n">
        <x:v>0.0008</x:v>
      </x:c>
      <x:c r="T203" s="34" t="n">
        <x:v>45739.666666666664</x:v>
      </x:c>
      <x:c r="U203" s="30" t="str">
        <x:v>accounts@starcke.in</x:v>
      </x:c>
      <x:c r="V203" s="30" t="str"/>
      <x:c r="W203" s="30" t="str"/>
      <x:c r="X203" s="30" t="str"/>
      <x:c r="Y203" s="30" t="str"/>
      <x:c r="Z203" s="30" t="str"/>
      <x:c r="AA203" s="30" t="str"/>
      <x:c r="AB203" s="30" t="str"/>
      <x:c r="AC203" s="30" t="str">
        <x:v>accounts@starcke.in:1</x:v>
      </x:c>
      <x:c r="AD203" s="30" t="str"/>
      <x:c r="AE203" s="30" t="str"/>
      <x:c r="AF203" s="30" t="str">
        <x:v>MASKING FILM (4mx200m with LOGO) (200 CTNS) (200 ROLL) MASKING FILM (4mx200m with LOGO) (200 CTNS) (200 ROLL)</x:v>
      </x:c>
      <x:c r="AG203" s="30" t="str"/>
      <x:c r="AH203" s="30" t="str"/>
      <x:c r="AI203" s="30" t="str"/>
      <x:c r="AJ203" s="30" t="str">
        <x:v>遮蔽膜</x:v>
      </x:c>
      <x:c r="AK203" s="30" t="str">
        <x:v>masking-film-buyers-exact-search</x:v>
      </x:c>
      <x:c r="AL203" s="30" t="str">
        <x:v>UpKuajing customs company contact API</x:v>
      </x:c>
      <x:c r="AM203" s="30" t="str"/>
      <x:c r="AN203" s="30" t="str"/>
      <x:c r="AO203" s="34" t="n">
        <x:v>46220</x:v>
      </x:c>
    </x:row>
    <x:row r="204" ht="44" customHeight="1">
      <x:c r="A204" s="30" t="str">
        <x:v>已补充有效决策人邮箱</x:v>
      </x:c>
      <x:c r="B204" s="30" t="str">
        <x:v>常规-全球</x:v>
      </x:c>
      <x:c r="C204" s="30" t="str">
        <x:v>遮蔽膜</x:v>
      </x:c>
      <x:c r="D204" s="31" t="str">
        <x:v>28930762</x:v>
      </x:c>
      <x:c r="E204" s="30" t="str">
        <x:v>SUPER SALES CORPORATION</x:v>
      </x:c>
      <x:c r="F204" s="30" t="str">
        <x:v>印度</x:v>
      </x:c>
      <x:c r="G204" s="30" t="str">
        <x:v>jain.naman1984@gmail.com</x:v>
      </x:c>
      <x:c r="H204" s="30" t="str">
        <x:f>IF(ISNUMBER(SEARCH(":1",AC204)),"已验证有效",IF(ISNUMBER(SEARCH(":3",AC204)),"验证不确定",IF(ISNUMBER(SEARCH(":0",AC204)),"接口未能检测",IF(ISNUMBER(SEARCH(":2",AC204)),"判定无效",IF(V204&lt;&gt;"","官网已确认-未验证","无邮箱")))))</x:f>
        <x:v>已验证有效</x:v>
      </x:c>
      <x:c r="I204" s="30" t="str">
        <x:v>+91 99993 27453</x:v>
      </x:c>
      <x:c r="J204" s="30" t="str">
        <x:v>superconduits.com</x:v>
      </x:c>
      <x:c r="K204" s="35" t="n">
        <x:f>ROUND((IF(H204="已验证有效",40,IF(V204&lt;&gt;"",20,0))+IF(ISNUMBER(SEARCH("状态1",Y204)),25,0)+IF(J204&lt;&gt;"",20,0)+IF(AA204&lt;&gt;"",15,0))/100,2)</x:f>
        <x:v>1</x:v>
      </x:c>
      <x:c r="L204" s="30" t="str">
        <x:v>待联系</x:v>
      </x:c>
      <x:c r="M204" s="30" t="str"/>
      <x:c r="N204" s="30" t="str">
        <x:v>delhi, delhi, india</x:v>
      </x:c>
      <x:c r="O204" s="30" t="str"/>
      <x:c r="P204" s="30" t="str">
        <x:v>暂无经营范围信息</x:v>
      </x:c>
      <x:c r="Q204" s="32" t="n">
        <x:v>7</x:v>
      </x:c>
      <x:c r="R204" s="32" t="n">
        <x:v>357</x:v>
      </x:c>
      <x:c r="S204" s="33" t="n">
        <x:v>0.0196</x:v>
      </x:c>
      <x:c r="T204" s="34" t="n">
        <x:v>45690.666666666664</x:v>
      </x:c>
      <x:c r="U204" s="30" t="str">
        <x:v>career@martfury.com; contact@martfury.com; customercare@martfury.com; info@superconduits.com; media@martfury.com; vendorsupport@martfury.com; jain.naman1984@gmail.com</x:v>
      </x:c>
      <x:c r="V204" s="30" t="str">
        <x:v>supsalcorp@gmail.com</x:v>
      </x:c>
      <x:c r="W204" s="30" t="str"/>
      <x:c r="X204" s="30" t="str">
        <x:v>+91 99993 27453</x:v>
      </x:c>
      <x:c r="Y204" s="30" t="str">
        <x:v>+91 99993 27453:状态1/类型2/WhatsApp1</x:v>
      </x:c>
      <x:c r="Z204" s="30" t="str"/>
      <x:c r="AA204" s="30" t="str">
        <x:v>https://www.linkedin.com/company/super-sales-corporation; https://www.linkedin.com/in/jainnaman</x:v>
      </x:c>
      <x:c r="AB204" s="30" t="str"/>
      <x:c r="AC204" s="30" t="str">
        <x:v>career@martfury.com:2; contact@martfury.com:2; customercare@martfury.com:2; info@superconduits.com:2; media@martfury.com:2; vendorsupport@martfury.com:2; jain.naman1984@gmail.com:1; supsalcorp@gmail.com:3</x:v>
      </x:c>
      <x:c r="AD204" s="30" t="str">
        <x:v>预贴胶带遮蔽膜</x:v>
      </x:c>
      <x:c r="AE204" s="30" t="str">
        <x:v>Pre-taped；遮蔽膜</x:v>
      </x:c>
      <x:c r="AF204" s="30" t="str">
        <x:v>PRE-TAPED MASKING FILM,STYLE NO:80MM*45M(5400 ROLL) PRE-TAPED MASKING FILM,STYLE NO:80MM*45M(5400 ROLL)</x:v>
      </x:c>
      <x:c r="AG204" s="30" t="str">
        <x:v>带胶遮蔽膜；胶带遮蔽膜；预贴遮蔽膜；自带胶遮蔽膜；自粘遮蔽膜</x:v>
      </x:c>
      <x:c r="AH204" s="30" t="str">
        <x:v>塑料树脂；胶粘剂；聚合物；薄膜基材；胶带</x:v>
      </x:c>
      <x:c r="AI204" s="30" t="str">
        <x:v>汽车涂装；家具涂装；建筑涂装；DIY项目；工业涂装</x:v>
      </x:c>
      <x:c r="AJ204" s="30" t="str">
        <x:v>遮蔽膜</x:v>
      </x:c>
      <x:c r="AK204" s="30" t="str">
        <x:v>masking-film-buyers-exact-search</x:v>
      </x:c>
      <x:c r="AL204" s="30" t="str">
        <x:v>UpKuajing customs company contact API; UpKuajing reviewed person contact API</x:v>
      </x:c>
      <x:c r="AM204" s="30" t="str">
        <x:v>https://www.scamadviser.com/check-website/superconduits.com</x:v>
      </x:c>
      <x:c r="AN204" s="30" t="str">
        <x:v>域名登记信息聚合；superconduits.com 的域名登记联系人邮箱；只有验证有效才纳入首选邮箱候选。 验证状态=3。; 人物补充：Naman Jain（Executive Partner）；企业合伙人，且公司精确匹配 Super Sales Corporation。</x:v>
      </x:c>
      <x:c r="AO204" s="34" t="n">
        <x:v>46220</x:v>
      </x:c>
    </x:row>
    <x:row r="205" ht="44" customHeight="1">
      <x:c r="A205" s="30" t="str">
        <x:v>API联系方式已获取</x:v>
      </x:c>
      <x:c r="B205" s="30" t="str">
        <x:v>常规-全球</x:v>
      </x:c>
      <x:c r="C205" s="30" t="str">
        <x:v>遮蔽膜</x:v>
      </x:c>
      <x:c r="D205" s="31" t="str">
        <x:v>67078</x:v>
      </x:c>
      <x:c r="E205" s="30" t="str">
        <x:v>aqua dynamics pvt ltd.</x:v>
      </x:c>
      <x:c r="F205" s="30" t="str">
        <x:v>斯里兰卡</x:v>
      </x:c>
      <x:c r="G205" s="30" t="str">
        <x:v>udaya@aquadynamics.lk</x:v>
      </x:c>
      <x:c r="H205" s="30" t="str">
        <x:f>IF(ISNUMBER(SEARCH(":1",AC205)),"已验证有效",IF(ISNUMBER(SEARCH(":3",AC205)),"验证不确定",IF(ISNUMBER(SEARCH(":0",AC205)),"接口未能检测",IF(ISNUMBER(SEARCH(":2",AC205)),"判定无效",IF(V205&lt;&gt;"","官网已确认-未验证","无邮箱")))))</x:f>
        <x:v>验证不确定</x:v>
      </x:c>
      <x:c r="I205" s="30" t="str">
        <x:v>+94 31 5553500</x:v>
      </x:c>
      <x:c r="J205" s="30" t="str">
        <x:v>http://www.aquadynamicconsultancy.com</x:v>
      </x:c>
      <x:c r="K205" s="35" t="n">
        <x:f>ROUND((IF(H205="已验证有效",40,IF(V205&lt;&gt;"",20,0))+IF(ISNUMBER(SEARCH("状态1",Y205)),25,0)+IF(J205&lt;&gt;"",20,0)+IF(AA205&lt;&gt;"",15,0))/100,2)</x:f>
        <x:v>0.8</x:v>
      </x:c>
      <x:c r="L205" s="30" t="str">
        <x:v>待联系</x:v>
      </x:c>
      <x:c r="M205" s="30" t="str"/>
      <x:c r="N205" s="30" t="str">
        <x:v>721 e highway 108. sulphur, la 70665</x:v>
      </x:c>
      <x:c r="O205" s="30" t="str"/>
      <x:c r="P205" s="30" t="str">
        <x:v>条码扫描仪</x:v>
      </x:c>
      <x:c r="Q205" s="32" t="n">
        <x:v>6</x:v>
      </x:c>
      <x:c r="R205" s="32" t="n">
        <x:v>15365</x:v>
      </x:c>
      <x:c r="S205" s="33" t="n">
        <x:v>0.0004</x:v>
      </x:c>
      <x:c r="T205" s="34" t="n">
        <x:v>46078.666666666664</x:v>
      </x:c>
      <x:c r="U205" s="30" t="str">
        <x:v>jeff.smith@aquadynamicconsultancy.com; danesh@aquadynamics.lk</x:v>
      </x:c>
      <x:c r="V205" s="30" t="str">
        <x:v>udaya@aquadynamics.lk</x:v>
      </x:c>
      <x:c r="W205" s="30" t="str"/>
      <x:c r="X205" s="30" t="str">
        <x:v>+94 31 5553500; +94 31 2235069; +94 77 7773669</x:v>
      </x:c>
      <x:c r="Y205" s="30" t="str">
        <x:v>+94 31 5553500:状态1/类型1/WhatsApp2; +94 31 2235069:状态3/类型0/WhatsApp0; +94 77 7773669:状态3/类型0/WhatsApp0</x:v>
      </x:c>
      <x:c r="Z205" s="30" t="str"/>
      <x:c r="AA205" s="30" t="str">
        <x:v>https://www.linkedin.com/in/danesh-weerarathne-8a5b9330</x:v>
      </x:c>
      <x:c r="AB205" s="30" t="str"/>
      <x:c r="AC205" s="30" t="str">
        <x:v>jeff.smith@aquadynamicconsultancy.com:2; danesh@aquadynamics.lk:2; udaya@aquadynamics.lk:3</x:v>
      </x:c>
      <x:c r="AD205" s="30" t="str"/>
      <x:c r="AE205" s="30" t="str">
        <x:v>遮蔽膜；遮蔽；印刷用薄膜；卷材</x:v>
      </x:c>
      <x:c r="AF205" s="30" t="str">
        <x:v>54 ROLLS MASKING FILMS MASKING FILM FOR PRINTING</x:v>
      </x:c>
      <x:c r="AG205" s="30" t="str"/>
      <x:c r="AH205" s="30" t="str"/>
      <x:c r="AI205" s="30" t="str"/>
      <x:c r="AJ205" s="30" t="str">
        <x:v>遮蔽膜</x:v>
      </x:c>
      <x:c r="AK205" s="30" t="str">
        <x:v>masking-film-buyers-exact-search</x:v>
      </x:c>
      <x:c r="AL205" s="30" t="str">
        <x:v>UpKuajing customs company contact API; UpKuajing reviewed person contact API</x:v>
      </x:c>
      <x:c r="AM205" s="30" t="str">
        <x:v>https://rainbowpages.lk/other/unclassified/aqua-dynamics-pvt-ltd/</x:v>
      </x:c>
      <x:c r="AN205" s="30" t="str">
        <x:v>本地商业目录；Sri Lanka Rainbow Pages 列出的公司邮箱；只有验证有效才纳入首选邮箱候选。 验证状态=3。; 人物补充：Danesh Weerarathne（Production Manager）；生产负责人，且公司精确匹配 Aqua Dynamics。</x:v>
      </x:c>
      <x:c r="AO205" s="34" t="n">
        <x:v>46220</x:v>
      </x:c>
    </x:row>
    <x:row r="206" ht="44" customHeight="1">
      <x:c r="A206" s="30" t="str">
        <x:v>API联系方式已获取</x:v>
      </x:c>
      <x:c r="B206" s="30" t="str">
        <x:v>常规-全球</x:v>
      </x:c>
      <x:c r="C206" s="30" t="str">
        <x:v>刷子</x:v>
      </x:c>
      <x:c r="D206" s="31" t="str">
        <x:v>20443301</x:v>
      </x:c>
      <x:c r="E206" s="30" t="str">
        <x:v>HOMAG INDIA PRIVATE LIMITED</x:v>
      </x:c>
      <x:c r="F206" s="30" t="str">
        <x:v>印度</x:v>
      </x:c>
      <x:c r="G206" s="30" t="str">
        <x:v>karthik.kumar@homag.com</x:v>
      </x:c>
      <x:c r="H206" s="30" t="str">
        <x:f>IF(ISNUMBER(SEARCH(":1",AC206)),"已验证有效",IF(ISNUMBER(SEARCH(":3",AC206)),"验证不确定",IF(ISNUMBER(SEARCH(":0",AC206)),"接口未能检测",IF(ISNUMBER(SEARCH(":2",AC206)),"判定无效",IF(V206&lt;&gt;"","官网已确认-未验证","无邮箱")))))</x:f>
        <x:v>已验证有效</x:v>
      </x:c>
      <x:c r="I206" s="30" t="str"/>
      <x:c r="J206" s="30" t="str">
        <x:v>homagindia.com</x:v>
      </x:c>
      <x:c r="K206" s="35" t="n">
        <x:f>ROUND((IF(H206="已验证有效",40,IF(V206&lt;&gt;"",20,0))+IF(ISNUMBER(SEARCH("状态1",Y206)),25,0)+IF(J206&lt;&gt;"",20,0)+IF(AA206&lt;&gt;"",15,0))/100,2)</x:f>
        <x:v>0.6</x:v>
      </x:c>
      <x:c r="L206" s="30" t="str">
        <x:v>待联系</x:v>
      </x:c>
      <x:c r="M206" s="30" t="str"/>
      <x:c r="N206" s="30" t="str">
        <x:v>7/6, RAJADHANI ESTATE , VEERANANJIPURA VILLAGE , KASABA HOBLI, NELAMANGALA TALUK, BANGALORE BANGALORE RURAL</x:v>
      </x:c>
      <x:c r="O206" s="30" t="str"/>
      <x:c r="P206" s="30" t="str">
        <x:v>折弯机、剪板机、手动机、折页机、板材加工机、折页机、切割机、图形剪板机、控制机、液压剪板机、施罗德、折页机、等特种机械</x:v>
      </x:c>
      <x:c r="Q206" s="32" t="n">
        <x:v>6</x:v>
      </x:c>
      <x:c r="R206" s="32" t="n">
        <x:v>9805</x:v>
      </x:c>
      <x:c r="S206" s="33" t="n">
        <x:v>0.0006</x:v>
      </x:c>
      <x:c r="T206" s="34" t="n">
        <x:v>45828.666666666664</x:v>
      </x:c>
      <x:c r="U206" s="30" t="str">
        <x:v>karthik.kumar@homag.com</x:v>
      </x:c>
      <x:c r="V206" s="30" t="str"/>
      <x:c r="W206" s="30" t="str"/>
      <x:c r="X206" s="30" t="str"/>
      <x:c r="Y206" s="30" t="str"/>
      <x:c r="Z206" s="30" t="str"/>
      <x:c r="AA206" s="30" t="str"/>
      <x:c r="AB206" s="30" t="str"/>
      <x:c r="AC206" s="30" t="str">
        <x:v>karthik.kumar@homag.com:1</x:v>
      </x:c>
      <x:c r="AD206" s="30" t="str">
        <x:v>Brush FBL1320-K35</x:v>
      </x:c>
      <x:c r="AE206" s="30" t="str">
        <x:v>刷子；wood working machine；零部件</x:v>
      </x:c>
      <x:c r="AF206" s="30" t="str">
        <x:v>BRUSH FBL1320-K35 FH=80(4699951782)(PARTS OF WOOD WORKING MACHINE)(6860 MM)BRUSH FBL1320-K35 FH=80(4699951782)(PARTS OF WOOD WORKING MA</x:v>
      </x:c>
      <x:c r="AG206" s="30" t="str">
        <x:v>FBL1320-K35 Brush；Machine Brush；Woodworking Brush；Brush Part；Working Machine Brush</x:v>
      </x:c>
      <x:c r="AH206" s="30" t="str">
        <x:v>塑料；金属；Fiber；橡胶；Resin</x:v>
      </x:c>
      <x:c r="AI206" s="30" t="str">
        <x:v>Woodworking Machinery；家具制造；Carpentry Tools；Timber Processing；Wood Crafting</x:v>
      </x:c>
      <x:c r="AJ206" s="30" t="str">
        <x:v>刷子</x:v>
      </x:c>
      <x:c r="AK206" s="30" t="str">
        <x:v>expansion-search-brush-page-07</x:v>
      </x:c>
      <x:c r="AL206" s="30" t="str">
        <x:v>UpKuajing customs company contact API</x:v>
      </x:c>
      <x:c r="AM206" s="30" t="str"/>
      <x:c r="AN206" s="30" t="str"/>
      <x:c r="AO206" s="34" t="n">
        <x:v>46220</x:v>
      </x:c>
    </x:row>
    <x:row r="207" ht="44" customHeight="1">
      <x:c r="A207" s="30" t="str">
        <x:v>API联系方式已获取</x:v>
      </x:c>
      <x:c r="B207" s="30" t="str">
        <x:v>常规-全球</x:v>
      </x:c>
      <x:c r="C207" s="30" t="str">
        <x:v>遮蔽膜</x:v>
      </x:c>
      <x:c r="D207" s="31" t="str">
        <x:v>381348</x:v>
      </x:c>
      <x:c r="E207" s="30" t="str">
        <x:v>speciality polyfilms india pvt.ltd.</x:v>
      </x:c>
      <x:c r="F207" s="30" t="str">
        <x:v>印度</x:v>
      </x:c>
      <x:c r="G207" s="30" t="str">
        <x:v>commercial@specialty-films.com</x:v>
      </x:c>
      <x:c r="H207" s="30" t="str">
        <x:f>IF(ISNUMBER(SEARCH(":1",AC207)),"已验证有效",IF(ISNUMBER(SEARCH(":3",AC207)),"验证不确定",IF(ISNUMBER(SEARCH(":0",AC207)),"接口未能检测",IF(ISNUMBER(SEARCH(":2",AC207)),"判定无效",IF(V207&lt;&gt;"","官网已确认-未验证","无邮箱")))))</x:f>
        <x:v>已验证有效</x:v>
      </x:c>
      <x:c r="I207" s="30" t="str"/>
      <x:c r="J207" s="30" t="str"/>
      <x:c r="K207" s="35" t="n">
        <x:f>ROUND((IF(H207="已验证有效",40,IF(V207&lt;&gt;"",20,0))+IF(ISNUMBER(SEARCH("状态1",Y207)),25,0)+IF(J207&lt;&gt;"",20,0)+IF(AA207&lt;&gt;"",15,0))/100,2)</x:f>
        <x:v>0.4</x:v>
      </x:c>
      <x:c r="L207" s="30" t="str">
        <x:v>待联系</x:v>
      </x:c>
      <x:c r="M207" s="30" t="str"/>
      <x:c r="N207" s="30" t="str">
        <x:v>plot no.f-89 &amp; f - 102, m.i.d.c. area, waluj, aurangabad, maharashtra,pin-431136</x:v>
      </x:c>
      <x:c r="O207" s="30" t="str"/>
      <x:c r="P207" s="30" t="str">
        <x:v>食品级，12，幻灯片，聚异丁烯，聚烯烃，胶印，生物，丙烯共聚物，称重传感器，蝙蝠，料斗，合成橡胶，输送机，盖子，精英，聚乙烯</x:v>
      </x:c>
      <x:c r="Q207" s="32" t="n">
        <x:v>6</x:v>
      </x:c>
      <x:c r="R207" s="32" t="n">
        <x:v>803</x:v>
      </x:c>
      <x:c r="S207" s="33" t="n">
        <x:v>0.0075</x:v>
      </x:c>
      <x:c r="T207" s="34" t="n">
        <x:v>45916.666666666664</x:v>
      </x:c>
      <x:c r="U207" s="30" t="str">
        <x:v>commercial@specialty-films.com</x:v>
      </x:c>
      <x:c r="V207" s="30" t="str"/>
      <x:c r="W207" s="30" t="str"/>
      <x:c r="X207" s="30" t="str"/>
      <x:c r="Y207" s="30" t="str"/>
      <x:c r="Z207" s="30" t="str"/>
      <x:c r="AA207" s="30" t="str"/>
      <x:c r="AB207" s="30" t="str"/>
      <x:c r="AC207" s="30" t="str">
        <x:v>commercial@specialty-films.com:1</x:v>
      </x:c>
      <x:c r="AD207" s="30" t="str"/>
      <x:c r="AE207" s="30" t="str">
        <x:v>印刷；遮蔽膜</x:v>
      </x:c>
      <x:c r="AF207" s="30" t="str">
        <x:v>MASKING FILM-PRINTED</x:v>
      </x:c>
      <x:c r="AG207" s="30" t="str"/>
      <x:c r="AH207" s="30" t="str"/>
      <x:c r="AI207" s="30" t="str"/>
      <x:c r="AJ207" s="30" t="str">
        <x:v>遮蔽膜</x:v>
      </x:c>
      <x:c r="AK207" s="30" t="str">
        <x:v>masking-film-buyers-exact-search</x:v>
      </x:c>
      <x:c r="AL207" s="30" t="str">
        <x:v>UpKuajing customs company contact API</x:v>
      </x:c>
      <x:c r="AM207" s="30" t="str"/>
      <x:c r="AN207" s="30" t="str"/>
      <x:c r="AO207" s="34" t="n">
        <x:v>46220</x:v>
      </x:c>
    </x:row>
    <x:row r="208" ht="44" customHeight="1">
      <x:c r="A208" s="30" t="str">
        <x:v>API联系方式已获取</x:v>
      </x:c>
      <x:c r="B208" s="30" t="str">
        <x:v>常规-全球</x:v>
      </x:c>
      <x:c r="C208" s="30" t="str">
        <x:v>刷子</x:v>
      </x:c>
      <x:c r="D208" s="31" t="str">
        <x:v>20467918</x:v>
      </x:c>
      <x:c r="E208" s="30" t="str">
        <x:v>COMANOV SA DE CV</x:v>
      </x:c>
      <x:c r="F208" s="30" t="str">
        <x:v>墨西哥</x:v>
      </x:c>
      <x:c r="G208" s="30" t="str">
        <x:v>ventas@comanov.com</x:v>
      </x:c>
      <x:c r="H208" s="30" t="str">
        <x:f>IF(ISNUMBER(SEARCH(":1",AC208)),"已验证有效",IF(ISNUMBER(SEARCH(":3",AC208)),"验证不确定",IF(ISNUMBER(SEARCH(":0",AC208)),"接口未能检测",IF(ISNUMBER(SEARCH(":2",AC208)),"判定无效",IF(V208&lt;&gt;"","官网已确认-未验证","无邮箱")))))</x:f>
        <x:v>接口未能检测</x:v>
      </x:c>
      <x:c r="I208" s="30" t="str">
        <x:v>+52 33 3825 5494</x:v>
      </x:c>
      <x:c r="J208" s="30" t="str">
        <x:v>www.comanov.com.mx</x:v>
      </x:c>
      <x:c r="K208" s="35" t="n">
        <x:f>ROUND((IF(H208="已验证有效",40,IF(V208&lt;&gt;"",20,0))+IF(ISNUMBER(SEARCH("状态1",Y208)),25,0)+IF(J208&lt;&gt;"",20,0)+IF(AA208&lt;&gt;"",15,0))/100,2)</x:f>
        <x:v>0.6</x:v>
      </x:c>
      <x:c r="L208" s="30" t="str">
        <x:v>待联系</x:v>
      </x:c>
      <x:c r="M208" s="30" t="str"/>
      <x:c r="N208" s="30" t="str">
        <x:v>GABRIEL RAMOS MILLAN 383 VILLASENOR</x:v>
      </x:c>
      <x:c r="O208" s="30" t="str"/>
      <x:c r="P208" s="30" t="str">
        <x:v>暂无经营范围信息</x:v>
      </x:c>
      <x:c r="Q208" s="32" t="n">
        <x:v>5</x:v>
      </x:c>
      <x:c r="R208" s="32" t="n">
        <x:v>3869</x:v>
      </x:c>
      <x:c r="S208" s="33" t="n">
        <x:v>0.0013</x:v>
      </x:c>
      <x:c r="T208" s="34" t="n">
        <x:v>45707.666666666664</x:v>
      </x:c>
      <x:c r="U208" s="30" t="str">
        <x:v>ventas@comanov.com</x:v>
      </x:c>
      <x:c r="V208" s="30" t="str"/>
      <x:c r="W208" s="30" t="str">
        <x:v>3338252835; 5213338255494; +52 33 3825 5494; 986742844</x:v>
      </x:c>
      <x:c r="X208" s="30" t="str"/>
      <x:c r="Y208" s="30" t="str">
        <x:v>3338252835:状态2/类型0/WhatsApp2; 5213338255494:状态2/类型0/WhatsApp0; +52 33 3825 5494:状态1/类型3/WhatsApp2; 986742844:状态2/类型0/WhatsApp2</x:v>
      </x:c>
      <x:c r="Z208" s="30" t="str"/>
      <x:c r="AA208" s="30" t="str">
        <x:v>https://www.facebook.com/usuario</x:v>
      </x:c>
      <x:c r="AB208" s="30" t="str"/>
      <x:c r="AC208" s="30" t="str">
        <x:v>ventas@comanov.com:0</x:v>
      </x:c>
      <x:c r="AD208" s="30" t="str">
        <x:v>Square Brush</x:v>
      </x:c>
      <x:c r="AE208" s="30" t="str">
        <x:v>Square；刷子</x:v>
      </x:c>
      <x:c r="AF208" s="30" t="str">
        <x:v>PINCEL CUADRADO</x:v>
      </x:c>
      <x:c r="AG208" s="30" t="str">
        <x:v>Square Painting Brush；Square Cleaning Brush；Rectangular Brush；Flat Brush；Quadrate Brush</x:v>
      </x:c>
      <x:c r="AH208" s="30" t="str">
        <x:v>Bristles；Wood；塑料；金属；Fiber</x:v>
      </x:c>
      <x:c r="AI208" s="30" t="str">
        <x:v>Art Supplies；Home Cleaning Tools；Industrial Cleaning Equipment；Automotive Detailing Tools；Craft Supplies</x:v>
      </x:c>
      <x:c r="AJ208" s="30" t="str">
        <x:v>刷子</x:v>
      </x:c>
      <x:c r="AK208" s="30" t="str">
        <x:v>expansion-search-brush-page-10</x:v>
      </x:c>
      <x:c r="AL208" s="30" t="str">
        <x:v>UpKuajing customs company contact API</x:v>
      </x:c>
      <x:c r="AM208" s="30" t="str"/>
      <x:c r="AN208" s="30" t="str"/>
      <x:c r="AO208" s="34" t="n">
        <x:v>46220</x:v>
      </x:c>
    </x:row>
    <x:row r="209" ht="44" customHeight="1">
      <x:c r="A209" s="30" t="str">
        <x:v>API联系方式已获取</x:v>
      </x:c>
      <x:c r="B209" s="30" t="str">
        <x:v>常规-全球</x:v>
      </x:c>
      <x:c r="C209" s="30" t="str">
        <x:v>刷子</x:v>
      </x:c>
      <x:c r="D209" s="31" t="str">
        <x:v>20457091</x:v>
      </x:c>
      <x:c r="E209" s="30" t="str">
        <x:v>NATIONAL CEMENT COMPANY LIMITED</x:v>
      </x:c>
      <x:c r="F209" s="30" t="str">
        <x:v>肯尼亚</x:v>
      </x:c>
      <x:c r="G209" s="30" t="str">
        <x:v>sales@devkisteel.com</x:v>
      </x:c>
      <x:c r="H209" s="30" t="str">
        <x:f>IF(ISNUMBER(SEARCH(":1",AC209)),"已验证有效",IF(ISNUMBER(SEARCH(":3",AC209)),"验证不确定",IF(ISNUMBER(SEARCH(":0",AC209)),"接口未能检测",IF(ISNUMBER(SEARCH(":2",AC209)),"判定无效",IF(V209&lt;&gt;"","官网已确认-未验证","无邮箱")))))</x:f>
        <x:v>已验证有效</x:v>
      </x:c>
      <x:c r="I209" s="30" t="str">
        <x:v>+254 756 020000</x:v>
      </x:c>
      <x:c r="J209" s="30" t="str">
        <x:v>www.devkigroupke.com</x:v>
      </x:c>
      <x:c r="K209" s="35" t="n">
        <x:f>ROUND((IF(H209="已验证有效",40,IF(V209&lt;&gt;"",20,0))+IF(ISNUMBER(SEARCH("状态1",Y209)),25,0)+IF(J209&lt;&gt;"",20,0)+IF(AA209&lt;&gt;"",15,0))/100,2)</x:f>
        <x:v>1</x:v>
      </x:c>
      <x:c r="L209" s="30" t="str">
        <x:v>待联系</x:v>
      </x:c>
      <x:c r="M209" s="30" t="str"/>
      <x:c r="N209" s="30" t="str">
        <x:v>PLOT NUMBER 209/5443 ,  ADDIS ABABA ROAD ,  INDUSTRIAL AREA</x:v>
      </x:c>
      <x:c r="O209" s="30" t="str"/>
      <x:c r="P209" s="30" t="str">
        <x:v>暂无经营范围信息</x:v>
      </x:c>
      <x:c r="Q209" s="32" t="n">
        <x:v>5</x:v>
      </x:c>
      <x:c r="R209" s="32" t="n">
        <x:v>3970</x:v>
      </x:c>
      <x:c r="S209" s="33" t="n">
        <x:v>0.0013</x:v>
      </x:c>
      <x:c r="T209" s="34" t="n">
        <x:v>45804.666666666664</x:v>
      </x:c>
      <x:c r="U209" s="30" t="str">
        <x:v>sales@devkisteel.com</x:v>
      </x:c>
      <x:c r="V209" s="30" t="str"/>
      <x:c r="W209" s="30" t="str">
        <x:v>+254 756 020000</x:v>
      </x:c>
      <x:c r="X209" s="30" t="str"/>
      <x:c r="Y209" s="30" t="str">
        <x:v>+254 756 020000:状态1/类型2/WhatsApp2</x:v>
      </x:c>
      <x:c r="Z209" s="30" t="str"/>
      <x:c r="AA209" s="30" t="str">
        <x:v>https://www.facebook.com/devkigroup; https://www.youtube.com/channel/UCuPF38QWDPJknIqllt3luoA</x:v>
      </x:c>
      <x:c r="AB209" s="30" t="str"/>
      <x:c r="AC209" s="30" t="str">
        <x:v>sales@devkisteel.com:1</x:v>
      </x:c>
      <x:c r="AD209" s="30" t="str">
        <x:v>Carbon brush</x:v>
      </x:c>
      <x:c r="AE209" s="30" t="str">
        <x:v>Carbon brush；Carbon</x:v>
      </x:c>
      <x:c r="AF209" s="30" t="str">
        <x:v>CARBON BRUSH D172; LEAN; D172; 300; 2025; 300; 70; 1; CARBON BRUSHES.</x:v>
      </x:c>
      <x:c r="AG209" s="30" t="str">
        <x:v>Graphite brush；Electric brush；Commutator brush；Motor brush；Generator brush</x:v>
      </x:c>
      <x:c r="AH209" s="30" t="str">
        <x:v>Carbon；Graphite；Copper；Silver；Resin</x:v>
      </x:c>
      <x:c r="AI209" s="30" t="str">
        <x:v>Electric motors；Generators；Power tools；Automotive starters；Industrial equipment</x:v>
      </x:c>
      <x:c r="AJ209" s="30" t="str">
        <x:v>刷子</x:v>
      </x:c>
      <x:c r="AK209" s="30" t="str">
        <x:v>expansion-search-brush-page-09</x:v>
      </x:c>
      <x:c r="AL209" s="30" t="str">
        <x:v>UpKuajing customs company contact API</x:v>
      </x:c>
      <x:c r="AM209" s="30" t="str"/>
      <x:c r="AN209" s="30" t="str"/>
      <x:c r="AO209" s="34" t="n">
        <x:v>46220</x:v>
      </x:c>
    </x:row>
    <x:row r="210" ht="44" customHeight="1">
      <x:c r="A210" s="30" t="str">
        <x:v>API联系方式已获取</x:v>
      </x:c>
      <x:c r="B210" s="30" t="str">
        <x:v>常规-全球</x:v>
      </x:c>
      <x:c r="C210" s="30" t="str">
        <x:v>遮蔽膜</x:v>
      </x:c>
      <x:c r="D210" s="31" t="str">
        <x:v>20232450</x:v>
      </x:c>
      <x:c r="E210" s="30" t="str">
        <x:v>PPG ASIAN PAINTS PRIVATE LIMITED</x:v>
      </x:c>
      <x:c r="F210" s="30" t="str">
        <x:v>印度</x:v>
      </x:c>
      <x:c r="G210" s="30" t="str">
        <x:v>compliance@ppgasianpaints.com</x:v>
      </x:c>
      <x:c r="H210" s="30" t="str">
        <x:f>IF(ISNUMBER(SEARCH(":1",AC210)),"已验证有效",IF(ISNUMBER(SEARCH(":3",AC210)),"验证不确定",IF(ISNUMBER(SEARCH(":0",AC210)),"接口未能检测",IF(ISNUMBER(SEARCH(":2",AC210)),"判定无效",IF(V210&lt;&gt;"","官网已确认-未验证","无邮箱")))))</x:f>
        <x:v>已验证有效</x:v>
      </x:c>
      <x:c r="I210" s="30" t="str">
        <x:v>+91 80020 95678</x:v>
      </x:c>
      <x:c r="J210" s="30" t="str">
        <x:v>www.ppgasianpaints.com</x:v>
      </x:c>
      <x:c r="K210" s="35" t="n">
        <x:f>ROUND((IF(H210="已验证有效",40,IF(V210&lt;&gt;"",20,0))+IF(ISNUMBER(SEARCH("状态1",Y210)),25,0)+IF(J210&lt;&gt;"",20,0)+IF(AA210&lt;&gt;"",15,0))/100,2)</x:f>
        <x:v>1</x:v>
      </x:c>
      <x:c r="L210" s="30" t="str">
        <x:v>待联系</x:v>
      </x:c>
      <x:c r="M210" s="30" t="str"/>
      <x:c r="N210" s="30" t="str">
        <x:v>6-ASHANTI NAGAR SANTACRUZ (EAST)</x:v>
      </x:c>
      <x:c r="O210" s="30" t="str"/>
      <x:c r="P210" s="30" t="str">
        <x:v>汽车和工业涂料</x:v>
      </x:c>
      <x:c r="Q210" s="32" t="n">
        <x:v>5</x:v>
      </x:c>
      <x:c r="R210" s="32" t="n">
        <x:v>44042</x:v>
      </x:c>
      <x:c r="S210" s="33" t="n">
        <x:v>0.0001</x:v>
      </x:c>
      <x:c r="T210" s="34" t="n">
        <x:v>45858.666666666664</x:v>
      </x:c>
      <x:c r="U210" s="30" t="str">
        <x:v>compliance@ppgasianpaints.com</x:v>
      </x:c>
      <x:c r="V210" s="30" t="str"/>
      <x:c r="W210" s="30" t="str">
        <x:v>02226528044; 02230568764; 02230568800; 02268158700; +91 80020 95678</x:v>
      </x:c>
      <x:c r="X210" s="30" t="str"/>
      <x:c r="Y210" s="30" t="str">
        <x:v>02226528044:状态2/类型0/WhatsApp0; 02230568764:状态2/类型0/WhatsApp0; 02230568800:状态2/类型0/WhatsApp0; 02268158700:状态2/类型0/WhatsApp0; +91 80020 95678:状态1/类型2/WhatsApp2</x:v>
      </x:c>
      <x:c r="Z210" s="30" t="str"/>
      <x:c r="AA210" s="30" t="str">
        <x:v>https://www.linkedin.com/company-beta/2680876; https://www.youtube.com/user/PPGIndustriesInc</x:v>
      </x:c>
      <x:c r="AB210" s="30" t="str"/>
      <x:c r="AC210" s="30" t="str">
        <x:v>compliance@ppgasianpaints.com:1</x:v>
      </x:c>
      <x:c r="AD210" s="30" t="str"/>
      <x:c r="AE210" s="30" t="str"/>
      <x:c r="AF210" s="30" t="str">
        <x:v>MASKING FILM  10MIC X 4M X 150M (400 CTNS USD 12.97) (FTA NO: VN-IN 25/01/022930 DT- 21/07/2025)MASKING FILM  10MIC X 4M X 150M (400 CTNS USD 12.97) (FTA NO</x:v>
      </x:c>
      <x:c r="AG210" s="30" t="str"/>
      <x:c r="AH210" s="30" t="str"/>
      <x:c r="AI210" s="30" t="str"/>
      <x:c r="AJ210" s="30" t="str">
        <x:v>遮蔽膜</x:v>
      </x:c>
      <x:c r="AK210" s="30" t="str">
        <x:v>expansion-search-masking-film-page-02</x:v>
      </x:c>
      <x:c r="AL210" s="30" t="str">
        <x:v>UpKuajing customs company contact API</x:v>
      </x:c>
      <x:c r="AM210" s="30" t="str"/>
      <x:c r="AN210" s="30" t="str"/>
      <x:c r="AO210" s="34" t="n">
        <x:v>46220</x:v>
      </x:c>
    </x:row>
    <x:row r="211" ht="44" customHeight="1">
      <x:c r="A211" s="30" t="str">
        <x:v>API联系方式已获取</x:v>
      </x:c>
      <x:c r="B211" s="30" t="str">
        <x:v>常规-全球</x:v>
      </x:c>
      <x:c r="C211" s="30" t="str">
        <x:v>刷子</x:v>
      </x:c>
      <x:c r="D211" s="31" t="str">
        <x:v>20432695</x:v>
      </x:c>
      <x:c r="E211" s="30" t="str">
        <x:v>SCHUNK INTEC INDIA PRIVATE LIMITED</x:v>
      </x:c>
      <x:c r="F211" s="30" t="str">
        <x:v>印度</x:v>
      </x:c>
      <x:c r="G211" s="30" t="str">
        <x:v>info@in.schunk.com</x:v>
      </x:c>
      <x:c r="H211" s="30" t="str">
        <x:f>IF(ISNUMBER(SEARCH(":1",AC211)),"已验证有效",IF(ISNUMBER(SEARCH(":3",AC211)),"验证不确定",IF(ISNUMBER(SEARCH(":0",AC211)),"接口未能检测",IF(ISNUMBER(SEARCH(":2",AC211)),"判定无效",IF(V211&lt;&gt;"","官网已确认-未验证","无邮箱")))))</x:f>
        <x:v>已验证有效</x:v>
      </x:c>
      <x:c r="I211" s="30" t="str">
        <x:v>+91 80 4053 8999</x:v>
      </x:c>
      <x:c r="J211" s="30" t="str">
        <x:v>www.schunk.com</x:v>
      </x:c>
      <x:c r="K211" s="35" t="n">
        <x:f>ROUND((IF(H211="已验证有效",40,IF(V211&lt;&gt;"",20,0))+IF(ISNUMBER(SEARCH("状态1",Y211)),25,0)+IF(J211&lt;&gt;"",20,0)+IF(AA211&lt;&gt;"",15,0))/100,2)</x:f>
        <x:v>0.85</x:v>
      </x:c>
      <x:c r="L211" s="30" t="str">
        <x:v>待联系</x:v>
      </x:c>
      <x:c r="M211" s="30" t="str"/>
      <x:c r="N211" s="30" t="str">
        <x:v>NO. 80-B , YESHWANTHPUR INDUSTRIAL SUBURBS</x:v>
      </x:c>
      <x:c r="O211" s="30" t="str"/>
      <x:c r="P211" s="30" t="str">
        <x:v>暂无经营范围信息</x:v>
      </x:c>
      <x:c r="Q211" s="32" t="n">
        <x:v>5</x:v>
      </x:c>
      <x:c r="R211" s="32" t="n">
        <x:v>32243</x:v>
      </x:c>
      <x:c r="S211" s="33" t="n">
        <x:v>0.0002</x:v>
      </x:c>
      <x:c r="T211" s="34" t="n">
        <x:v>45702.666666666664</x:v>
      </x:c>
      <x:c r="U211" s="30" t="str">
        <x:v>info@in.schunk.com</x:v>
      </x:c>
      <x:c r="V211" s="30" t="str"/>
      <x:c r="W211" s="30" t="str">
        <x:v>+91 80 4053 8999</x:v>
      </x:c>
      <x:c r="X211" s="30" t="str"/>
      <x:c r="Y211" s="30" t="str">
        <x:v>+91 80 4053 8999:状态1/类型1/WhatsApp2</x:v>
      </x:c>
      <x:c r="Z211" s="30" t="str"/>
      <x:c r="AA211" s="30" t="str"/>
      <x:c r="AB211" s="30" t="str"/>
      <x:c r="AC211" s="30" t="str">
        <x:v>info@in.schunk.com:1</x:v>
      </x:c>
      <x:c r="AD211" s="30" t="str">
        <x:v>Cleaning brush</x:v>
      </x:c>
      <x:c r="AE211" s="30" t="str">
        <x:v>Cleaning；刷子</x:v>
      </x:c>
      <x:c r="AF211" s="30" t="str">
        <x:v>CLEANING BRUSH,TYPE ZB DIA 16 - 9102017 CLEANING BRUSH,TYPE ZB DIA 16 - 9102017</x:v>
      </x:c>
      <x:c r="AG211" s="30" t="str">
        <x:v>Scrub brush；Broom brush；Duster brush；Toothbrush；油漆刷</x:v>
      </x:c>
      <x:c r="AH211" s="30" t="str">
        <x:v>塑料；Wood；Bristles；金属；Fiber</x:v>
      </x:c>
      <x:c r="AI211" s="30" t="str">
        <x:v>Household cleaning；Industrial cleaning；Automotive cleaning；Office cleaning；Kitchen cleaning</x:v>
      </x:c>
      <x:c r="AJ211" s="30" t="str">
        <x:v>刷子</x:v>
      </x:c>
      <x:c r="AK211" s="30" t="str">
        <x:v>expansion-search-brush-page-05</x:v>
      </x:c>
      <x:c r="AL211" s="30" t="str">
        <x:v>UpKuajing customs company contact API</x:v>
      </x:c>
      <x:c r="AM211" s="30" t="str"/>
      <x:c r="AN211" s="30" t="str"/>
      <x:c r="AO211" s="34" t="n">
        <x:v>46220</x:v>
      </x:c>
    </x:row>
    <x:row r="212" ht="44" customHeight="1">
      <x:c r="A212" s="30" t="str">
        <x:v>API联系方式已获取</x:v>
      </x:c>
      <x:c r="B212" s="30" t="str">
        <x:v>常规-全球</x:v>
      </x:c>
      <x:c r="C212" s="30" t="str">
        <x:v>刷子</x:v>
      </x:c>
      <x:c r="D212" s="31" t="str">
        <x:v>20438107</x:v>
      </x:c>
      <x:c r="E212" s="30" t="str">
        <x:v>VIET CERAMICS INTERNATIONAL JOINT STOCK COMPANY</x:v>
      </x:c>
      <x:c r="F212" s="30" t="str">
        <x:v>越南</x:v>
      </x:c>
      <x:c r="G212" s="30" t="str">
        <x:v>vci@vietceramics.com.vn</x:v>
      </x:c>
      <x:c r="H212" s="30" t="str">
        <x:f>IF(ISNUMBER(SEARCH(":1",AC212)),"已验证有效",IF(ISNUMBER(SEARCH(":3",AC212)),"验证不确定",IF(ISNUMBER(SEARCH(":0",AC212)),"接口未能检测",IF(ISNUMBER(SEARCH(":2",AC212)),"判定无效",IF(V212&lt;&gt;"","官网已确认-未验证","无邮箱")))))</x:f>
        <x:v>已验证有效</x:v>
      </x:c>
      <x:c r="I212" s="30" t="str">
        <x:v>+84 28 3845 7699</x:v>
      </x:c>
      <x:c r="J212" s="30" t="str">
        <x:v>vietceramics.com</x:v>
      </x:c>
      <x:c r="K212" s="35" t="n">
        <x:f>ROUND((IF(H212="已验证有效",40,IF(V212&lt;&gt;"",20,0))+IF(ISNUMBER(SEARCH("状态1",Y212)),25,0)+IF(J212&lt;&gt;"",20,0)+IF(AA212&lt;&gt;"",15,0))/100,2)</x:f>
        <x:v>1</x:v>
      </x:c>
      <x:c r="L212" s="30" t="str">
        <x:v>待联系</x:v>
      </x:c>
      <x:c r="M212" s="30" t="str"/>
      <x:c r="N212" s="30" t="str">
        <x:v>778K/2 NGUYEN KIEM , WARD 04 , PHU NHUAN DISTRICT</x:v>
      </x:c>
      <x:c r="O212" s="30" t="str"/>
      <x:c r="P212" s="30" t="str">
        <x:v>装饰、地板、墙壁、游泳池、地砖/墙砖；卫生洁具，例如盥洗用品、盥洗盆和水龙头；和其他建筑项目产品</x:v>
      </x:c>
      <x:c r="Q212" s="32" t="n">
        <x:v>5</x:v>
      </x:c>
      <x:c r="R212" s="32" t="n">
        <x:v>15195</x:v>
      </x:c>
      <x:c r="S212" s="33" t="n">
        <x:v>0.0003</x:v>
      </x:c>
      <x:c r="T212" s="34" t="n">
        <x:v>46106.666666666664</x:v>
      </x:c>
      <x:c r="U212" s="30" t="str">
        <x:v>vci@vietceramics.com.vn; vietceramics.com.vn@gmail.com; vietceramics@vietceramics.com</x:v>
      </x:c>
      <x:c r="V212" s="30" t="str"/>
      <x:c r="W212" s="30" t="str">
        <x:v>0797555299; +84 28 3845 7699</x:v>
      </x:c>
      <x:c r="X212" s="30" t="str"/>
      <x:c r="Y212" s="30" t="str">
        <x:v>0797555299:状态2/类型0/WhatsApp0; +84 28 3845 7699:状态1/类型1/WhatsApp2</x:v>
      </x:c>
      <x:c r="Z212" s="30" t="str"/>
      <x:c r="AA212" s="30" t="str">
        <x:v>https://www.facebook.com/sharer/sharer.php?u=https://www.vietceramics.com/san-go-wood-flooring/group-0/eligna-2; https://www.instagram.com/vietceramics.official; https://www.pinterest.com/Vietceramics_; https://www.youtube.com/channel/UCbekvShj88hLSribXfhBmOw</x:v>
      </x:c>
      <x:c r="AB212" s="30" t="str"/>
      <x:c r="AC212" s="30" t="str">
        <x:v>vci@vietceramics.com.vn:1; vietceramics.com.vn@gmail.com:1; vietceramics@vietceramics.com:0</x:v>
      </x:c>
      <x:c r="AD212" s="30" t="str"/>
      <x:c r="AE212" s="30" t="str"/>
      <x:c r="AF212" s="30" t="str">
        <x:v>Wall-mounted toilet brush (471x107 mm) (includes plastic brush, artificial stone tray, and brushed nickel-plated brass base) 63620_149, brand: GESSI, 100% new</x:v>
      </x:c>
      <x:c r="AG212" s="30" t="str"/>
      <x:c r="AH212" s="30" t="str"/>
      <x:c r="AI212" s="30" t="str"/>
      <x:c r="AJ212" s="30" t="str">
        <x:v>刷子</x:v>
      </x:c>
      <x:c r="AK212" s="30" t="str">
        <x:v>expansion-search-brush-page-06</x:v>
      </x:c>
      <x:c r="AL212" s="30" t="str">
        <x:v>UpKuajing customs company contact API</x:v>
      </x:c>
      <x:c r="AM212" s="30" t="str"/>
      <x:c r="AN212" s="30" t="str"/>
      <x:c r="AO212" s="34" t="n">
        <x:v>46220</x:v>
      </x:c>
    </x:row>
    <x:row r="213" ht="44" customHeight="1">
      <x:c r="A213" s="30" t="str">
        <x:v>API联系方式已获取</x:v>
      </x:c>
      <x:c r="B213" s="30" t="str">
        <x:v>常规-全球</x:v>
      </x:c>
      <x:c r="C213" s="30" t="str">
        <x:v>刷子</x:v>
      </x:c>
      <x:c r="D213" s="31" t="str">
        <x:v>20426337</x:v>
      </x:c>
      <x:c r="E213" s="30" t="str">
        <x:v>CANTIA SA DE CV</x:v>
      </x:c>
      <x:c r="F213" s="30" t="str">
        <x:v>墨西哥</x:v>
      </x:c>
      <x:c r="G213" s="30" t="str">
        <x:v>info@cantia.com</x:v>
      </x:c>
      <x:c r="H213" s="30" t="str">
        <x:f>IF(ISNUMBER(SEARCH(":1",AC213)),"已验证有效",IF(ISNUMBER(SEARCH(":3",AC213)),"验证不确定",IF(ISNUMBER(SEARCH(":0",AC213)),"接口未能检测",IF(ISNUMBER(SEARCH(":2",AC213)),"判定无效",IF(V213&lt;&gt;"","官网已确认-未验证","无邮箱")))))</x:f>
        <x:v>已验证有效</x:v>
      </x:c>
      <x:c r="I213" s="30" t="str">
        <x:v>+52 449 910 3763</x:v>
      </x:c>
      <x:c r="J213" s="30" t="str">
        <x:v>cantia.com.mx</x:v>
      </x:c>
      <x:c r="K213" s="35" t="n">
        <x:f>ROUND((IF(H213="已验证有效",40,IF(V213&lt;&gt;"",20,0))+IF(ISNUMBER(SEARCH("状态1",Y213)),25,0)+IF(J213&lt;&gt;"",20,0)+IF(AA213&lt;&gt;"",15,0))/100,2)</x:f>
        <x:v>1</x:v>
      </x:c>
      <x:c r="L213" s="30" t="str">
        <x:v>待联系</x:v>
      </x:c>
      <x:c r="M213" s="30" t="str"/>
      <x:c r="N213" s="30" t="str">
        <x:v>SALVADOR QUEZADA LIMON NO. 1512 , CURTIDORES</x:v>
      </x:c>
      <x:c r="O213" s="30" t="str"/>
      <x:c r="P213" s="30" t="str">
        <x:v>暂无经营范围信息</x:v>
      </x:c>
      <x:c r="Q213" s="32" t="n">
        <x:v>4</x:v>
      </x:c>
      <x:c r="R213" s="32" t="n">
        <x:v>6002</x:v>
      </x:c>
      <x:c r="S213" s="33" t="n">
        <x:v>0.0007000000000000001</x:v>
      </x:c>
      <x:c r="T213" s="34" t="n">
        <x:v>45776.666666666664</x:v>
      </x:c>
      <x:c r="U213" s="30" t="str">
        <x:v>info@cantia.com; support@starapps.studio; ventasenlinea@cantia.mx</x:v>
      </x:c>
      <x:c r="V213" s="30" t="str"/>
      <x:c r="W213" s="30" t="str">
        <x:v>+52 449 910 3763</x:v>
      </x:c>
      <x:c r="X213" s="30" t="str"/>
      <x:c r="Y213" s="30" t="str">
        <x:v>+52 449 910 3763:状态1/类型3/WhatsApp2</x:v>
      </x:c>
      <x:c r="Z213" s="30" t="str"/>
      <x:c r="AA213" s="30" t="str">
        <x:v>https://www.facebook.com/CantiaOficial; https://www.instagram.com/cantiaoficial; https://www.pinterest.com/.mx/CantiaOficial</x:v>
      </x:c>
      <x:c r="AB213" s="30" t="str"/>
      <x:c r="AC213" s="30" t="str">
        <x:v>info@cantia.com:1; support@starapps.studio:1; ventasenlinea@cantia.mx:1</x:v>
      </x:c>
      <x:c r="AD213" s="30" t="str">
        <x:v>Shower brush</x:v>
      </x:c>
      <x:c r="AE213" s="30" t="str">
        <x:v>Shower；刷子</x:v>
      </x:c>
      <x:c r="AF213" s="30" t="str">
        <x:v>CEPILLO PARA DUCHA</x:v>
      </x:c>
      <x:c r="AG213" s="30" t="str">
        <x:v>Bath brush；Shower scrubber；Bathing brush；Shower cleaning brush；Body brush</x:v>
      </x:c>
      <x:c r="AH213" s="30" t="str">
        <x:v>塑料；Bristles；Wood；金属；橡胶</x:v>
      </x:c>
      <x:c r="AI213" s="30" t="str">
        <x:v>Bathroom；Shower room；Hotel；Gym；Residential</x:v>
      </x:c>
      <x:c r="AJ213" s="30" t="str">
        <x:v>刷子</x:v>
      </x:c>
      <x:c r="AK213" s="30" t="str">
        <x:v>expansion-search-brush-page-02</x:v>
      </x:c>
      <x:c r="AL213" s="30" t="str">
        <x:v>UpKuajing customs company contact API</x:v>
      </x:c>
      <x:c r="AM213" s="30" t="str"/>
      <x:c r="AN213" s="30" t="str"/>
      <x:c r="AO213" s="34" t="n">
        <x:v>46220</x:v>
      </x:c>
    </x:row>
    <x:row r="214" ht="44" customHeight="1">
      <x:c r="A214" s="30" t="str">
        <x:v>API联系方式已获取</x:v>
      </x:c>
      <x:c r="B214" s="30" t="str">
        <x:v>常规-全球</x:v>
      </x:c>
      <x:c r="C214" s="30" t="str">
        <x:v>PVC护角条</x:v>
      </x:c>
      <x:c r="D214" s="31" t="str">
        <x:v>456996</x:v>
      </x:c>
      <x:c r="E214" s="30" t="str">
        <x:v>công ty tnhh quốc hùng</x:v>
      </x:c>
      <x:c r="F214" s="30" t="str">
        <x:v>越南</x:v>
      </x:c>
      <x:c r="G214" s="30" t="str">
        <x:v>quochungscale@hcm.vnn.vn</x:v>
      </x:c>
      <x:c r="H214" s="30" t="str">
        <x:f>IF(ISNUMBER(SEARCH(":1",AC214)),"已验证有效",IF(ISNUMBER(SEARCH(":3",AC214)),"验证不确定",IF(ISNUMBER(SEARCH(":0",AC214)),"接口未能检测",IF(ISNUMBER(SEARCH(":2",AC214)),"判定无效",IF(V214&lt;&gt;"","官网已确认-未验证","无邮箱")))))</x:f>
        <x:v>已验证有效</x:v>
      </x:c>
      <x:c r="I214" s="30" t="str"/>
      <x:c r="J214" s="30" t="str">
        <x:v>http://www.quochung-scale.vn</x:v>
      </x:c>
      <x:c r="K214" s="35" t="n">
        <x:f>ROUND((IF(H214="已验证有效",40,IF(V214&lt;&gt;"",20,0))+IF(ISNUMBER(SEARCH("状态1",Y214)),25,0)+IF(J214&lt;&gt;"",20,0)+IF(AA214&lt;&gt;"",15,0))/100,2)</x:f>
        <x:v>0.6</x:v>
      </x:c>
      <x:c r="L214" s="30" t="str">
        <x:v>待联系</x:v>
      </x:c>
      <x:c r="M214" s="30" t="str"/>
      <x:c r="N214" s="30" t="str">
        <x:v>86/56 phổ quang, p. 2, q. tân bình,tp. hồ chí minh (tphcm)</x:v>
      </x:c>
      <x:c r="O214" s="30" t="str"/>
      <x:c r="P214" s="30" t="str">
        <x:v>连接器、可锻铸铁、蓝牙耳机、电缆、塑料建筑用品、乙烯聚合物、稳压供应商、电子秤、插头线、打印机、账户余额、铸钢产品、对讲机、平衡器、稳压电源、板材、电线</x:v>
      </x:c>
      <x:c r="Q214" s="32" t="n">
        <x:v>4</x:v>
      </x:c>
      <x:c r="R214" s="32" t="n">
        <x:v>779</x:v>
      </x:c>
      <x:c r="S214" s="33" t="n">
        <x:v>0.0051</x:v>
      </x:c>
      <x:c r="T214" s="34" t="n">
        <x:v>45903.666666666664</x:v>
      </x:c>
      <x:c r="U214" s="30" t="str">
        <x:v>quochungscale@hcm.vnn.vn</x:v>
      </x:c>
      <x:c r="V214" s="30" t="str"/>
      <x:c r="W214" s="30" t="str"/>
      <x:c r="X214" s="30" t="str"/>
      <x:c r="Y214" s="30" t="str"/>
      <x:c r="Z214" s="30" t="str"/>
      <x:c r="AA214" s="30" t="str"/>
      <x:c r="AB214" s="30" t="str"/>
      <x:c r="AC214" s="30" t="str">
        <x:v>quochungscale@hcm.vnn.vn:1</x:v>
      </x:c>
      <x:c r="AD214" s="30" t="str">
        <x:v>PVC墙角护条</x:v>
      </x:c>
      <x:c r="AE214" s="30" t="str">
        <x:v>Wall Corner Trim；PVC；Pest prevention；Wall decoration</x:v>
      </x:c>
      <x:c r="AF214" s="30" t="str">
        <x:v>Nẹp góc ốp tường bằng nhựa PVC, loại chống côn trùng gây hại, đã được gia công tạo thành cấu kiện, dùng trong xây lắp, KT: 30*30*3000 mm, mã: NP7--JX038, không hiệu . Mới 100%</x:v>
      </x:c>
      <x:c r="AG214" s="30" t="str">
        <x:v>PVC Wall Angle Trim；PVC护角条；PVC Wall Edge Trim；PVC Corner Molding；PVC Wall Corner Guard</x:v>
      </x:c>
      <x:c r="AH214" s="30" t="str">
        <x:v>PVC Resin；增塑剂；Stabilizer；Lubricant；Filler</x:v>
      </x:c>
      <x:c r="AI214" s="30" t="str">
        <x:v>Residential Buildings；Commercial Buildings；Industrial Buildings；Interior Decoration Projects；Renovation Projects</x:v>
      </x:c>
      <x:c r="AJ214" s="30" t="str">
        <x:v>PVC护角条</x:v>
      </x:c>
      <x:c r="AK214" s="30" t="str">
        <x:v>expansion-search-pvc-corner-guard-page-01</x:v>
      </x:c>
      <x:c r="AL214" s="30" t="str">
        <x:v>UpKuajing customs company contact API</x:v>
      </x:c>
      <x:c r="AM214" s="30" t="str"/>
      <x:c r="AN214" s="30" t="str"/>
      <x:c r="AO214" s="34" t="n">
        <x:v>46220</x:v>
      </x:c>
    </x:row>
    <x:row r="215" ht="44" customHeight="1">
      <x:c r="A215" s="30" t="str">
        <x:v>API联系方式已获取</x:v>
      </x:c>
      <x:c r="B215" s="30" t="str">
        <x:v>常规-全球</x:v>
      </x:c>
      <x:c r="C215" s="30" t="str">
        <x:v>刷子</x:v>
      </x:c>
      <x:c r="D215" s="31" t="str">
        <x:v>20451414</x:v>
      </x:c>
      <x:c r="E215" s="30" t="str">
        <x:v>DE VICENTE PLASTICOS S A</x:v>
      </x:c>
      <x:c r="F215" s="30" t="str">
        <x:v>智利</x:v>
      </x:c>
      <x:c r="G215" s="30" t="str">
        <x:v>javier@dvp.cl</x:v>
      </x:c>
      <x:c r="H215" s="30" t="str">
        <x:f>IF(ISNUMBER(SEARCH(":1",AC215)),"已验证有效",IF(ISNUMBER(SEARCH(":3",AC215)),"验证不确定",IF(ISNUMBER(SEARCH(":0",AC215)),"接口未能检测",IF(ISNUMBER(SEARCH(":2",AC215)),"判定无效",IF(V215&lt;&gt;"","官网已确认-未验证","无邮箱")))))</x:f>
        <x:v>已验证有效</x:v>
      </x:c>
      <x:c r="I215" s="30" t="str">
        <x:v>+56 9 8439 4757</x:v>
      </x:c>
      <x:c r="J215" s="30" t="str">
        <x:v>www.dvp.cl</x:v>
      </x:c>
      <x:c r="K215" s="35" t="n">
        <x:f>ROUND((IF(H215="已验证有效",40,IF(V215&lt;&gt;"",20,0))+IF(ISNUMBER(SEARCH("状态1",Y215)),25,0)+IF(J215&lt;&gt;"",20,0)+IF(AA215&lt;&gt;"",15,0))/100,2)</x:f>
        <x:v>1</x:v>
      </x:c>
      <x:c r="L215" s="30" t="str">
        <x:v>待联系</x:v>
      </x:c>
      <x:c r="M215" s="30" t="str"/>
      <x:c r="N215" s="30" t="str">
        <x:v>LOS NOGALES 721 LOTE 21 22 COND2DA O , LAMPA</x:v>
      </x:c>
      <x:c r="O215" s="30" t="str"/>
      <x:c r="P215" s="30" t="str">
        <x:v>五金、管道和供暖设备及用品（蒸汽和热水锅炉、浴缸、水槽、盥洗室、淋浴间和漩涡浴缸、配件、法兰、管道和其他相关产品）</x:v>
      </x:c>
      <x:c r="Q215" s="32" t="n">
        <x:v>4</x:v>
      </x:c>
      <x:c r="R215" s="32" t="n">
        <x:v>2695</x:v>
      </x:c>
      <x:c r="S215" s="33" t="n">
        <x:v>0.0015</x:v>
      </x:c>
      <x:c r="T215" s="34" t="n">
        <x:v>45795.666666666664</x:v>
      </x:c>
      <x:c r="U215" s="30" t="str">
        <x:v>javier@dvp.cl</x:v>
      </x:c>
      <x:c r="V215" s="30" t="str"/>
      <x:c r="W215" s="30" t="str">
        <x:v>+56 9 8439 4757</x:v>
      </x:c>
      <x:c r="X215" s="30" t="str"/>
      <x:c r="Y215" s="30" t="str">
        <x:v>+56 9 8439 4757:状态1/类型3/WhatsApp1</x:v>
      </x:c>
      <x:c r="Z215" s="30" t="str">
        <x:v>+56 9 8439 4757</x:v>
      </x:c>
      <x:c r="AA215" s="30" t="str">
        <x:v>https://www.facebook.com/dvpoficial; https://www.instagram.com/dvpoficial; https://www.linkedin.com/company/de-vicente-pl-sticos; https://www.youtube.com/channel/UCD1UdwUURuojqVmcUc3v6Jw</x:v>
      </x:c>
      <x:c r="AB215" s="30" t="str"/>
      <x:c r="AC215" s="30" t="str">
        <x:v>javier@dvp.cl:1</x:v>
      </x:c>
      <x:c r="AD215" s="30" t="str">
        <x:v>Precision brush</x:v>
      </x:c>
      <x:c r="AE215" s="30" t="str">
        <x:v>Precision brush；Plastic processing</x:v>
      </x:c>
      <x:c r="AF215" s="30" t="str">
        <x:v>CEPILLOS DE PRECISIONPRECISION BRUSH-FPBC96681PARA MAQUINA TRABAJAR PLASTICO LOS DEMAS CEPILLOS QUE CONSTITUYAN PARTES DE MAQUINAS, APARATOS O DE VEHICULOS</x:v>
      </x:c>
      <x:c r="AG215" s="30" t="str">
        <x:v>Fine brush；High - precision brush；Accurate brush；Exact brush；Delicate brush</x:v>
      </x:c>
      <x:c r="AH215" s="30" t="str">
        <x:v>Bristles；Plastic handle；Metal ferrule；Glue；Wood</x:v>
      </x:c>
      <x:c r="AI215" s="30" t="str">
        <x:v>Plastic processing machines；Automotive manufacturing；电子制造；家具生产；Jewelry making</x:v>
      </x:c>
      <x:c r="AJ215" s="30" t="str">
        <x:v>刷子</x:v>
      </x:c>
      <x:c r="AK215" s="30" t="str">
        <x:v>expansion-search-brush-page-08</x:v>
      </x:c>
      <x:c r="AL215" s="30" t="str">
        <x:v>UpKuajing customs company contact API</x:v>
      </x:c>
      <x:c r="AM215" s="30" t="str"/>
      <x:c r="AN215" s="30" t="str"/>
      <x:c r="AO215" s="34" t="n">
        <x:v>46220</x:v>
      </x:c>
    </x:row>
    <x:row r="216" ht="44" customHeight="1">
      <x:c r="A216" s="30" t="str">
        <x:v>API联系方式已获取</x:v>
      </x:c>
      <x:c r="B216" s="30" t="str">
        <x:v>常规-全球</x:v>
      </x:c>
      <x:c r="C216" s="30" t="str">
        <x:v>胶带</x:v>
      </x:c>
      <x:c r="D216" s="31" t="str">
        <x:v>20437717</x:v>
      </x:c>
      <x:c r="E216" s="30" t="str">
        <x:v>ENDOLITE INDIA LIMITED</x:v>
      </x:c>
      <x:c r="F216" s="30" t="str">
        <x:v>印度</x:v>
      </x:c>
      <x:c r="G216" s="30" t="str">
        <x:v>info@endoliteindia.in</x:v>
      </x:c>
      <x:c r="H216" s="30" t="str">
        <x:f>IF(ISNUMBER(SEARCH(":1",AC216)),"已验证有效",IF(ISNUMBER(SEARCH(":3",AC216)),"验证不确定",IF(ISNUMBER(SEARCH(":0",AC216)),"接口未能检测",IF(ISNUMBER(SEARCH(":2",AC216)),"判定无效",IF(V216&lt;&gt;"","官网已确认-未验证","无邮箱")))))</x:f>
        <x:v>接口未能检测</x:v>
      </x:c>
      <x:c r="I216" s="30" t="str">
        <x:v>+44 1256 316600</x:v>
      </x:c>
      <x:c r="J216" s="30" t="str">
        <x:v>www.endoliteindia.com</x:v>
      </x:c>
      <x:c r="K216" s="35" t="n">
        <x:f>ROUND((IF(H216="已验证有效",40,IF(V216&lt;&gt;"",20,0))+IF(ISNUMBER(SEARCH("状态1",Y216)),25,0)+IF(J216&lt;&gt;"",20,0)+IF(AA216&lt;&gt;"",15,0))/100,2)</x:f>
        <x:v>0.6</x:v>
      </x:c>
      <x:c r="L216" s="30" t="str">
        <x:v>待联系</x:v>
      </x:c>
      <x:c r="M216" s="30" t="str"/>
      <x:c r="N216" s="30" t="str">
        <x:v>NO. A-4 , NARAINA INDUSTRIAL AREA, PHASE-I</x:v>
      </x:c>
      <x:c r="O216" s="30" t="str"/>
      <x:c r="P216" s="30" t="str">
        <x:v>暂无经营范围信息</x:v>
      </x:c>
      <x:c r="Q216" s="32" t="n">
        <x:v>4</x:v>
      </x:c>
      <x:c r="R216" s="32" t="n">
        <x:v>6894</x:v>
      </x:c>
      <x:c r="S216" s="33" t="n">
        <x:v>0.0006</x:v>
      </x:c>
      <x:c r="T216" s="34" t="n">
        <x:v>45847.666666666664</x:v>
      </x:c>
      <x:c r="U216" s="30" t="str">
        <x:v>info@endoliteindia.in; sales@blatchford.co</x:v>
      </x:c>
      <x:c r="V216" s="30" t="str"/>
      <x:c r="W216" s="30" t="str">
        <x:v>+44 1256 316600; +91 11 4568 9955; +91 11 4568 9999</x:v>
      </x:c>
      <x:c r="X216" s="30" t="str"/>
      <x:c r="Y216" s="30" t="str">
        <x:v>+44 1256 316600:状态1/类型1/WhatsApp2; +91 11 4568 9955:状态1/类型1/WhatsApp2; +91 11 4568 9999:状态1/类型1/WhatsApp2</x:v>
      </x:c>
      <x:c r="Z216" s="30" t="str"/>
      <x:c r="AA216" s="30" t="str">
        <x:v>https://www.facebook.com/endoliteindialtd</x:v>
      </x:c>
      <x:c r="AB216" s="30" t="str"/>
      <x:c r="AC216" s="30" t="str">
        <x:v>info@endoliteindia.in:0; sales@blatchford.co:0</x:v>
      </x:c>
      <x:c r="AD216" s="30" t="str"/>
      <x:c r="AE216" s="30" t="str"/>
      <x:c r="AF216" s="30" t="str">
        <x:v>TAPE MEASURES  (FOR ADVERTISING PURPOSE) FOR ADVERTISING PURPOSE</x:v>
      </x:c>
      <x:c r="AG216" s="30" t="str"/>
      <x:c r="AH216" s="30" t="str"/>
      <x:c r="AI216" s="30" t="str"/>
      <x:c r="AJ216" s="30" t="str">
        <x:v>胶带</x:v>
      </x:c>
      <x:c r="AK216" s="30" t="str">
        <x:v>expansion-search-tape-page-02</x:v>
      </x:c>
      <x:c r="AL216" s="30" t="str">
        <x:v>UpKuajing customs company contact API</x:v>
      </x:c>
      <x:c r="AM216" s="30" t="str"/>
      <x:c r="AN216" s="30" t="str"/>
      <x:c r="AO216" s="34" t="n">
        <x:v>46220</x:v>
      </x:c>
    </x:row>
    <x:row r="217" ht="44" customHeight="1">
      <x:c r="A217" s="30" t="str">
        <x:v>API联系方式已获取</x:v>
      </x:c>
      <x:c r="B217" s="30" t="str">
        <x:v>常规-全球</x:v>
      </x:c>
      <x:c r="C217" s="30" t="str">
        <x:v>刷子</x:v>
      </x:c>
      <x:c r="D217" s="31" t="str">
        <x:v>20463283</x:v>
      </x:c>
      <x:c r="E217" s="30" t="str">
        <x:v>FAZAL CLOTH MILLS LIMITED</x:v>
      </x:c>
      <x:c r="F217" s="30" t="str">
        <x:v>巴基斯坦</x:v>
      </x:c>
      <x:c r="G217" s="30" t="str">
        <x:v>info@fazalcloth.com</x:v>
      </x:c>
      <x:c r="H217" s="30" t="str">
        <x:f>IF(ISNUMBER(SEARCH(":1",AC217)),"已验证有效",IF(ISNUMBER(SEARCH(":3",AC217)),"验证不确定",IF(ISNUMBER(SEARCH(":0",AC217)),"接口未能检测",IF(ISNUMBER(SEARCH(":2",AC217)),"判定无效",IF(V217&lt;&gt;"","官网已确认-未验证","无邮箱")))))</x:f>
        <x:v>接口未能检测</x:v>
      </x:c>
      <x:c r="I217" s="30" t="str">
        <x:v>+92 42 36684909</x:v>
      </x:c>
      <x:c r="J217" s="30" t="str">
        <x:v>www.fazalcloth.com</x:v>
      </x:c>
      <x:c r="K217" s="35" t="n">
        <x:f>ROUND((IF(H217="已验证有效",40,IF(V217&lt;&gt;"",20,0))+IF(ISNUMBER(SEARCH("状态1",Y217)),25,0)+IF(J217&lt;&gt;"",20,0)+IF(AA217&lt;&gt;"",15,0))/100,2)</x:f>
        <x:v>0.6</x:v>
      </x:c>
      <x:c r="L217" s="30" t="str">
        <x:v>待联系</x:v>
      </x:c>
      <x:c r="M217" s="30" t="str"/>
      <x:c r="N217" s="30" t="str">
        <x:v>69/7, ABID MAJEED ROAD, SURVEY # 248/7 LAHORE CANTT lahore Punjab 54000</x:v>
      </x:c>
      <x:c r="O217" s="30" t="str"/>
      <x:c r="P217" s="30" t="str">
        <x:v>纱线和面料</x:v>
      </x:c>
      <x:c r="Q217" s="32" t="n">
        <x:v>4</x:v>
      </x:c>
      <x:c r="R217" s="32" t="n">
        <x:v>4305</x:v>
      </x:c>
      <x:c r="S217" s="33" t="n">
        <x:v>0.0009</x:v>
      </x:c>
      <x:c r="T217" s="34" t="n">
        <x:v>45830.666666666664</x:v>
      </x:c>
      <x:c r="U217" s="30" t="str">
        <x:v>info@fazalcloth.com</x:v>
      </x:c>
      <x:c r="V217" s="30" t="str"/>
      <x:c r="W217" s="30" t="str">
        <x:v>+92 42 36684909</x:v>
      </x:c>
      <x:c r="X217" s="30" t="str"/>
      <x:c r="Y217" s="30" t="str">
        <x:v>+92 42 36684909:状态1/类型1/WhatsApp2</x:v>
      </x:c>
      <x:c r="Z217" s="30" t="str"/>
      <x:c r="AA217" s="30" t="str">
        <x:v>https://www.facebook.com/Fazal-Cloth-Mills-Ltd-103320444945307/?view_public_for=103320444945307; https://www.linkedin.com/company/fazal-cloth-mills-limited</x:v>
      </x:c>
      <x:c r="AB217" s="30" t="str"/>
      <x:c r="AC217" s="30" t="str">
        <x:v>info@fazalcloth.com:0</x:v>
      </x:c>
      <x:c r="AD217" s="30" t="str">
        <x:v>Textile Industry Brush</x:v>
      </x:c>
      <x:c r="AE217" s="30" t="str">
        <x:v>Textile Industry；刷子；Spare Parts</x:v>
      </x:c>
      <x:c r="AF217" s="30" t="str">
        <x:v>SPARE PARTS FOR TEXTILE INDUSTRY BRUSH QTY 30 PCS DTL AS PER INV</x:v>
      </x:c>
      <x:c r="AG217" s="30" t="str">
        <x:v>Textile Brush；Industry Brush；Fabric Brush；Weaving Brush；Textile Cleaning Brush</x:v>
      </x:c>
      <x:c r="AH217" s="30" t="str">
        <x:v>塑料；金属；Bristle；Fiber；Wood</x:v>
      </x:c>
      <x:c r="AI217" s="30" t="str">
        <x:v>Textile Machinery；Clothing Manufacturing；Home Textiles；Industrial Textiles；Automotive Textiles</x:v>
      </x:c>
      <x:c r="AJ217" s="30" t="str">
        <x:v>刷子</x:v>
      </x:c>
      <x:c r="AK217" s="30" t="str">
        <x:v>expansion-search-brush-page-10</x:v>
      </x:c>
      <x:c r="AL217" s="30" t="str">
        <x:v>UpKuajing customs company contact API</x:v>
      </x:c>
      <x:c r="AM217" s="30" t="str"/>
      <x:c r="AN217" s="30" t="str"/>
      <x:c r="AO217" s="34" t="n">
        <x:v>46220</x:v>
      </x:c>
    </x:row>
    <x:row r="218" ht="44" customHeight="1">
      <x:c r="A218" s="30" t="str">
        <x:v>API联系方式已获取</x:v>
      </x:c>
      <x:c r="B218" s="30" t="str">
        <x:v>常规-全球</x:v>
      </x:c>
      <x:c r="C218" s="30" t="str">
        <x:v>刷子</x:v>
      </x:c>
      <x:c r="D218" s="31" t="str">
        <x:v>20458817</x:v>
      </x:c>
      <x:c r="E218" s="30" t="str">
        <x:v>SCIENTIFIC PRODUCTS LTDA</x:v>
      </x:c>
      <x:c r="F218" s="30" t="str">
        <x:v>哥伦比亚</x:v>
      </x:c>
      <x:c r="G218" s="30" t="str">
        <x:v>antioquia@spltda.com</x:v>
      </x:c>
      <x:c r="H218" s="30" t="str">
        <x:f>IF(ISNUMBER(SEARCH(":1",AC218)),"已验证有效",IF(ISNUMBER(SEARCH(":3",AC218)),"验证不确定",IF(ISNUMBER(SEARCH(":0",AC218)),"接口未能检测",IF(ISNUMBER(SEARCH(":2",AC218)),"判定无效",IF(V218&lt;&gt;"","官网已确认-未验证","无邮箱")))))</x:f>
        <x:v>已验证有效</x:v>
      </x:c>
      <x:c r="I218" s="30" t="str">
        <x:v>3013322684</x:v>
      </x:c>
      <x:c r="J218" s="30" t="str">
        <x:v>www.spltda.com</x:v>
      </x:c>
      <x:c r="K218" s="35" t="n">
        <x:f>ROUND((IF(H218="已验证有效",40,IF(V218&lt;&gt;"",20,0))+IF(ISNUMBER(SEARCH("状态1",Y218)),25,0)+IF(J218&lt;&gt;"",20,0)+IF(AA218&lt;&gt;"",15,0))/100,2)</x:f>
        <x:v>0.75</x:v>
      </x:c>
      <x:c r="L218" s="30" t="str">
        <x:v>待联系</x:v>
      </x:c>
      <x:c r="M218" s="30" t="str"/>
      <x:c r="N218" s="30" t="str">
        <x:v>36 A 71, CARRERA 4 B</x:v>
      </x:c>
      <x:c r="O218" s="30" t="str"/>
      <x:c r="P218" s="30" t="str">
        <x:v>暂无经营范围信息</x:v>
      </x:c>
      <x:c r="Q218" s="32" t="n">
        <x:v>4</x:v>
      </x:c>
      <x:c r="R218" s="32" t="n">
        <x:v>10050</x:v>
      </x:c>
      <x:c r="S218" s="33" t="n">
        <x:v>0.0004</x:v>
      </x:c>
      <x:c r="T218" s="34" t="n">
        <x:v>45636.666666666664</x:v>
      </x:c>
      <x:c r="U218" s="30" t="str">
        <x:v>antioquia@spltda.com; bio@spltda.com; bogota@spltda.com; coordinacion@spltda.com; distribuidores@spltda.com; microbiologia@spltda.com; regional2@spltda.com; sp@spltda.com; standard@spltda.com; ventas1@spltda.com; ventas2@spltda.com; ventas3@spltda.com; ventas5@spltda.com; ventas6@spltda.com; ventas7@spltda.com</x:v>
      </x:c>
      <x:c r="V218" s="30" t="str"/>
      <x:c r="W218" s="30" t="str">
        <x:v>3013322684; 3017685580; 3017688640; 3044359895; 3044359899; 3045685395; 3152728931; 3154088585; 3158979130; 3162211852; 3163036554; 3163477524; 3177276468; 3187129403; 5726411100</x:v>
      </x:c>
      <x:c r="X218" s="30" t="str"/>
      <x:c r="Y218" s="30" t="str">
        <x:v>3013322684:状态2/类型0/WhatsApp2; 3017685580:状态2/类型0/WhatsApp2; 3017688640:状态2/类型0/WhatsApp2; 3044359895:状态2/类型0/WhatsApp2; 3044359899:状态2/类型0/WhatsApp2; 3045685395:状态2/类型0/WhatsApp2; 3152728931:状态2/类型0/WhatsApp2; 3154088585:状态2/类型0/WhatsApp2; 3158979130:状态2/类型0/WhatsApp2; 3162211852:状态2/类型0/WhatsApp2; 3163036554:状态2/类型0/WhatsApp2; 3163477524:状态2/类型0/WhatsApp2; 3177276468:状态2/类型0/WhatsApp2; 3187129403:状态2/类型0/WhatsApp2; 5726411100:状态2/类型0/WhatsApp2</x:v>
      </x:c>
      <x:c r="Z218" s="30" t="str"/>
      <x:c r="AA218" s="30" t="str">
        <x:v>https://www.facebook.com/ScientificProductsSAS; https://www.instagram.com/scientificproductssas; https://www.linkedin.com/company/scientific-products-ltda/?viewAsMember=true; https://twitter.com/ScientificSas; https://www.youtube.com/channel/UC4EcGGUu3TmaJTDRJ0E7uCg</x:v>
      </x:c>
      <x:c r="AB218" s="30" t="str"/>
      <x:c r="AC218" s="30" t="str">
        <x:v>antioquia@spltda.com:1; bio@spltda.com:1; bogota@spltda.com:1; coordinacion@spltda.com:1; distribuidores@spltda.com:1; microbiologia@spltda.com:1; regional2@spltda.com:1; sp@spltda.com:1; standard@spltda.com:1; ventas1@spltda.com:1; ventas2@spltda.com:1; ventas3@spltda.com:1; ventas5@spltda.com:1; ventas6@spltda.com:1; ventas7@spltda.com:1</x:v>
      </x:c>
      <x:c r="AD218" s="30" t="str">
        <x:v>Brush cent tube</x:v>
      </x:c>
      <x:c r="AE218" s="30" t="str">
        <x:v>刷子；Tube；Stainless steel；Nylon</x:v>
      </x:c>
      <x:c r="AF218" s="30" t="str">
        <x:v>D.O. 5822/2024 (38/43). MERCANCIA NUEVA. IMP 978. NO REQUIERE REGISTRODE IMPORTACION DECRETO 0925 DE 2013 - 1PK. PAQUETE X 12UNDS. PRODUCTO= BRUSH CENT TUBE 9IN. CEPILLOS PARA TUBO. MATERIA CONSTITUTIVA= MANGOEN ACERO INOXIDABLE / CERDAS DE NYLON. USO=...</x:v>
      </x:c>
      <x:c r="AG218" s="30" t="str">
        <x:v>Tube brush；Pipe brush；Cleaning brush；Cent tube brush；Brush for tube</x:v>
      </x:c>
      <x:c r="AH218" s="30" t="str">
        <x:v>Stainless steel；Nylon；金属；塑料；Fiber</x:v>
      </x:c>
      <x:c r="AI218" s="30" t="str">
        <x:v>Pipe systems；Industrial equipment；家用电器；Automotive parts；Plumbing fixtures</x:v>
      </x:c>
      <x:c r="AJ218" s="30" t="str">
        <x:v>刷子</x:v>
      </x:c>
      <x:c r="AK218" s="30" t="str">
        <x:v>expansion-search-brush-page-09</x:v>
      </x:c>
      <x:c r="AL218" s="30" t="str">
        <x:v>UpKuajing customs company contact API</x:v>
      </x:c>
      <x:c r="AM218" s="30" t="str"/>
      <x:c r="AN218" s="30" t="str"/>
      <x:c r="AO218" s="34" t="n">
        <x:v>46220</x:v>
      </x:c>
    </x:row>
    <x:row r="219" ht="44" customHeight="1">
      <x:c r="A219" s="30" t="str">
        <x:v>API联系方式已获取</x:v>
      </x:c>
      <x:c r="B219" s="30" t="str">
        <x:v>常规-全球</x:v>
      </x:c>
      <x:c r="C219" s="30" t="str">
        <x:v>刷子</x:v>
      </x:c>
      <x:c r="D219" s="31" t="str">
        <x:v>20455320</x:v>
      </x:c>
      <x:c r="E219" s="30" t="str">
        <x:v>AUTO INDUSTRIES LIMITED</x:v>
      </x:c>
      <x:c r="F219" s="30" t="str">
        <x:v>肯尼亚</x:v>
      </x:c>
      <x:c r="G219" s="30" t="str">
        <x:v>info@axis-kenya.com</x:v>
      </x:c>
      <x:c r="H219" s="30" t="str">
        <x:f>IF(ISNUMBER(SEARCH(":1",AC219)),"已验证有效",IF(ISNUMBER(SEARCH(":3",AC219)),"验证不确定",IF(ISNUMBER(SEARCH(":0",AC219)),"接口未能检测",IF(ISNUMBER(SEARCH(":2",AC219)),"判定无效",IF(V219&lt;&gt;"","官网已确认-未验证","无邮箱")))))</x:f>
        <x:v>已验证有效</x:v>
      </x:c>
      <x:c r="I219" s="30" t="str">
        <x:v>+254 732 775590</x:v>
      </x:c>
      <x:c r="J219" s="30" t="str">
        <x:v>www.globalbajaj.com/kenya</x:v>
      </x:c>
      <x:c r="K219" s="35" t="n">
        <x:f>ROUND((IF(H219="已验证有效",40,IF(V219&lt;&gt;"",20,0))+IF(ISNUMBER(SEARCH("状态1",Y219)),25,0)+IF(J219&lt;&gt;"",20,0)+IF(AA219&lt;&gt;"",15,0))/100,2)</x:f>
        <x:v>0.85</x:v>
      </x:c>
      <x:c r="L219" s="30" t="str">
        <x:v>待联系</x:v>
      </x:c>
      <x:c r="M219" s="30" t="str"/>
      <x:c r="N219" s="30" t="str">
        <x:v>PLOT NO.LR NO 24393</x:v>
      </x:c>
      <x:c r="O219" s="30" t="str"/>
      <x:c r="P219" s="30" t="str">
        <x:v>暂无经营范围信息</x:v>
      </x:c>
      <x:c r="Q219" s="32" t="n">
        <x:v>3</x:v>
      </x:c>
      <x:c r="R219" s="32" t="n">
        <x:v>96330</x:v>
      </x:c>
      <x:c r="S219" s="33" t="n">
        <x:v>0</x:v>
      </x:c>
      <x:c r="T219" s="34" t="n">
        <x:v>45837.666666666664</x:v>
      </x:c>
      <x:c r="U219" s="30" t="str">
        <x:v>info@axis-kenya.com</x:v>
      </x:c>
      <x:c r="V219" s="30" t="str"/>
      <x:c r="W219" s="30" t="str">
        <x:v>+254 732 775590</x:v>
      </x:c>
      <x:c r="X219" s="30" t="str"/>
      <x:c r="Y219" s="30" t="str">
        <x:v>+254 732 775590:状态1/类型2/WhatsApp2</x:v>
      </x:c>
      <x:c r="Z219" s="30" t="str"/>
      <x:c r="AA219" s="30" t="str"/>
      <x:c r="AB219" s="30" t="str"/>
      <x:c r="AC219" s="30" t="str">
        <x:v>info@axis-kenya.com:1</x:v>
      </x:c>
      <x:c r="AD219" s="30" t="str">
        <x:v>Positive Brush Holder Assembly；Negative Brush Holder Assembly</x:v>
      </x:c>
      <x:c r="AE219" s="30" t="str">
        <x:v>Brush Holder Assembly；Electrical ignition；Starting equipment</x:v>
      </x:c>
      <x:c r="AF219" s="30" t="str">
        <x:v>POSITIVE BRUSH HOLDER ASSEMBLY,NEGATIVE BRUSH HOLDER ASSEMBLY; POSITIVE BRUSH HOLDER ASSEMBLY,NEGATIVE BRUSH HOLDER ASSEMBLY; AUTOWORLD; JA351608; 1; 250; 2025; 20 KG; 1;  PARTS OF ELECTRICAL IGNITION OR STARTING EQUIPMENT OF A KIND USED FOR SPARK-IGN...</x:v>
      </x:c>
      <x:c r="AG219" s="30" t="str">
        <x:v>Brush Holder Unit；Brush Assembly；Ignition Brush Holder；Starting Brush Holder；Electrical Brush Assembly</x:v>
      </x:c>
      <x:c r="AH219" s="30" t="str">
        <x:v>金属；塑料；Copper；Insulating material；刷子</x:v>
      </x:c>
      <x:c r="AI219" s="30" t="str">
        <x:v>Automobile engines；Generators；Motorcycles；Industrial machinery；Power tools</x:v>
      </x:c>
      <x:c r="AJ219" s="30" t="str">
        <x:v>刷子</x:v>
      </x:c>
      <x:c r="AK219" s="30" t="str">
        <x:v>expansion-search-brush-page-09</x:v>
      </x:c>
      <x:c r="AL219" s="30" t="str">
        <x:v>UpKuajing customs company contact API</x:v>
      </x:c>
      <x:c r="AM219" s="30" t="str"/>
      <x:c r="AN219" s="30" t="str"/>
      <x:c r="AO219" s="34" t="n">
        <x:v>46220</x:v>
      </x:c>
    </x:row>
    <x:row r="220" ht="44" customHeight="1">
      <x:c r="A220" s="30" t="str">
        <x:v>API联系方式已获取</x:v>
      </x:c>
      <x:c r="B220" s="30" t="str">
        <x:v>常规-全球</x:v>
      </x:c>
      <x:c r="C220" s="30" t="str">
        <x:v>刷子</x:v>
      </x:c>
      <x:c r="D220" s="31" t="str">
        <x:v>20431960</x:v>
      </x:c>
      <x:c r="E220" s="30" t="str">
        <x:v>BANDO INDIA PRIVATE LIMITED</x:v>
      </x:c>
      <x:c r="F220" s="30" t="str">
        <x:v>印度</x:v>
      </x:c>
      <x:c r="G220" s="30" t="str">
        <x:v>mahesh@bando.co.in</x:v>
      </x:c>
      <x:c r="H220" s="30" t="str">
        <x:f>IF(ISNUMBER(SEARCH(":1",AC220)),"已验证有效",IF(ISNUMBER(SEARCH(":3",AC220)),"验证不确定",IF(ISNUMBER(SEARCH(":0",AC220)),"接口未能检测",IF(ISNUMBER(SEARCH(":2",AC220)),"判定无效",IF(V220&lt;&gt;"","官网已确认-未验证","无邮箱")))))</x:f>
        <x:v>已验证有效</x:v>
      </x:c>
      <x:c r="I220" s="30" t="str">
        <x:v>+91 63077 36600</x:v>
      </x:c>
      <x:c r="J220" s="30" t="str">
        <x:v>www.bando.co.in</x:v>
      </x:c>
      <x:c r="K220" s="35" t="n">
        <x:f>ROUND((IF(H220="已验证有效",40,IF(V220&lt;&gt;"",20,0))+IF(ISNUMBER(SEARCH("状态1",Y220)),25,0)+IF(J220&lt;&gt;"",20,0)+IF(AA220&lt;&gt;"",15,0))/100,2)</x:f>
        <x:v>1</x:v>
      </x:c>
      <x:c r="L220" s="30" t="str">
        <x:v>待联系</x:v>
      </x:c>
      <x:c r="M220" s="30" t="str"/>
      <x:c r="N220" s="30" t="str">
        <x:v>PLOT NO. 436 , SECTOR 8 , IMT MANESAR</x:v>
      </x:c>
      <x:c r="O220" s="30" t="str"/>
      <x:c r="P220" s="30" t="str">
        <x:v>皮带及皮带产品</x:v>
      </x:c>
      <x:c r="Q220" s="32" t="n">
        <x:v>3</x:v>
      </x:c>
      <x:c r="R220" s="32" t="n">
        <x:v>38028</x:v>
      </x:c>
      <x:c r="S220" s="33" t="n">
        <x:v>0.0001</x:v>
      </x:c>
      <x:c r="T220" s="34" t="n">
        <x:v>45748.666666666664</x:v>
      </x:c>
      <x:c r="U220" s="30" t="str">
        <x:v>mahesh@bando.co.in</x:v>
      </x:c>
      <x:c r="V220" s="30" t="str"/>
      <x:c r="W220" s="30" t="str">
        <x:v>+91 63077 36600</x:v>
      </x:c>
      <x:c r="X220" s="30" t="str"/>
      <x:c r="Y220" s="30" t="str">
        <x:v>+91 63077 36600:状态1/类型2/WhatsApp1</x:v>
      </x:c>
      <x:c r="Z220" s="30" t="str">
        <x:v>+91 63077 36600</x:v>
      </x:c>
      <x:c r="AA220" s="30" t="str">
        <x:v>https://www.linkedin.com/company/bando-india-private-limited</x:v>
      </x:c>
      <x:c r="AB220" s="30" t="str"/>
      <x:c r="AC220" s="30" t="str">
        <x:v>mahesh@bando.co.in:1</x:v>
      </x:c>
      <x:c r="AD220" s="30" t="str">
        <x:v>Flap wheel</x:v>
      </x:c>
      <x:c r="AE220" s="30" t="str">
        <x:v>Flap wheel；Washing brush；Rubber belt processing</x:v>
      </x:c>
      <x:c r="AF220" s="30" t="str">
        <x:v>FLAP WHEEL NH F-5 200X100MM (FOR WASHING BRUSH) (1PCS) (EQUIPMENT FOR RUBBER BELT FOR PROCESSING &amp; FOR CAPTIVE CONSUMPTIFLAP WHEEL NH F-5 200X100MM (FOR WASHING BRUSH) (1PCS) (EQUI</x:v>
      </x:c>
      <x:c r="AG220" s="30" t="str">
        <x:v>Flap brush wheel；Buffing flap wheel；Abrasive flap wheel；Polishing flap wheel；Grinding flap wheel</x:v>
      </x:c>
      <x:c r="AH220" s="30" t="str">
        <x:v>Abrasive materials；Bonding agents；Metal hubs；Fabric；Resin</x:v>
      </x:c>
      <x:c r="AI220" s="30" t="str">
        <x:v>Automotive manufacturing；Metalworking；Woodworking；家具生产；Aerospace industry</x:v>
      </x:c>
      <x:c r="AJ220" s="30" t="str">
        <x:v>刷子</x:v>
      </x:c>
      <x:c r="AK220" s="30" t="str">
        <x:v>expansion-search-brush-page-04; expansion-search-brush-page-05</x:v>
      </x:c>
      <x:c r="AL220" s="30" t="str">
        <x:v>UpKuajing customs company contact API</x:v>
      </x:c>
      <x:c r="AM220" s="30" t="str"/>
      <x:c r="AN220" s="30" t="str"/>
      <x:c r="AO220" s="34" t="n">
        <x:v>46220</x:v>
      </x:c>
    </x:row>
    <x:row r="221" ht="44" customHeight="1">
      <x:c r="A221" s="30" t="str">
        <x:v>API联系方式已获取</x:v>
      </x:c>
      <x:c r="B221" s="30" t="str">
        <x:v>常规-全球</x:v>
      </x:c>
      <x:c r="C221" s="30" t="str">
        <x:v>羊毛刷</x:v>
      </x:c>
      <x:c r="D221" s="31" t="str">
        <x:v>178632</x:v>
      </x:c>
      <x:c r="E221" s="30" t="str">
        <x:v>công ty tnhh công nghiệp việt thương</x:v>
      </x:c>
      <x:c r="F221" s="30" t="str">
        <x:v>越南</x:v>
      </x:c>
      <x:c r="G221" s="30" t="str">
        <x:v>sales@vthco.com</x:v>
      </x:c>
      <x:c r="H221" s="30" t="str">
        <x:f>IF(ISNUMBER(SEARCH(":1",AC221)),"已验证有效",IF(ISNUMBER(SEARCH(":3",AC221)),"验证不确定",IF(ISNUMBER(SEARCH(":0",AC221)),"接口未能检测",IF(ISNUMBER(SEARCH(":2",AC221)),"判定无效",IF(V221&lt;&gt;"","官网已确认-未验证","无邮箱")))))</x:f>
        <x:v>已验证有效</x:v>
      </x:c>
      <x:c r="I221" s="30" t="str"/>
      <x:c r="J221" s="30" t="str">
        <x:v>http://www.vthco.com</x:v>
      </x:c>
      <x:c r="K221" s="35" t="n">
        <x:f>ROUND((IF(H221="已验证有效",40,IF(V221&lt;&gt;"",20,0))+IF(ISNUMBER(SEARCH("状态1",Y221)),25,0)+IF(J221&lt;&gt;"",20,0)+IF(AA221&lt;&gt;"",15,0))/100,2)</x:f>
        <x:v>0.6</x:v>
      </x:c>
      <x:c r="L221" s="30" t="str">
        <x:v>待联系</x:v>
      </x:c>
      <x:c r="M221" s="30" t="str"/>
      <x:c r="N221" s="30" t="str">
        <x:v>lầu 5, d52/ p12, q. tân bình, tp hồ chí minhtp. hồ chí minh (tphcm)</x:v>
      </x:c>
      <x:c r="O221" s="30" t="str"/>
      <x:c r="P221" s="30" t="str">
        <x:v>棒材、管材、开口销、塑料帽、不锈钢管、冷轧不锈钢板、合金钢无缝圆截面管、扫气箱、管材、蝶式自动阀、止回阀、玻璃纤维、镀钢、垫圈、刀具、不锈钢、不锈钢棒、不锈钢装饰管、合金钢、弹簧</x:v>
      </x:c>
      <x:c r="Q221" s="32" t="n">
        <x:v>3</x:v>
      </x:c>
      <x:c r="R221" s="32" t="n">
        <x:v>9743</x:v>
      </x:c>
      <x:c r="S221" s="33" t="n">
        <x:v>0.0003</x:v>
      </x:c>
      <x:c r="T221" s="34" t="n">
        <x:v>45861.666666666664</x:v>
      </x:c>
      <x:c r="U221" s="30" t="str">
        <x:v>sales@vthco.com</x:v>
      </x:c>
      <x:c r="V221" s="30" t="str"/>
      <x:c r="W221" s="30" t="str"/>
      <x:c r="X221" s="30" t="str"/>
      <x:c r="Y221" s="30" t="str"/>
      <x:c r="Z221" s="30" t="str"/>
      <x:c r="AA221" s="30" t="str"/>
      <x:c r="AB221" s="30" t="str"/>
      <x:c r="AC221" s="30" t="str">
        <x:v>sales@vthco.com:1</x:v>
      </x:c>
      <x:c r="AD221" s="30" t="str">
        <x:v>Steel Wool Brush；Bolt A193 B7；Nut A194-2H</x:v>
      </x:c>
      <x:c r="AE221" s="30" t="str">
        <x:v>Steel Wool Brush；Bolt；Nut；Steel；PTFE</x:v>
      </x:c>
      <x:c r="AF221" s="30" t="str">
        <x:v>Bộ bu lông (ty ren) bằng thép, KT: 7/8' x 185L, phủ PTFE, (gồm 1 bu lông A193 B7 và 1 con đai ốc A194-2H), Hàng mới 100%</x:v>
      </x:c>
      <x:c r="AG221" s="30" t="str">
        <x:v>Wire Brush；Metal Brush；Threaded Bolt；Hex Nut；Steel Fastener</x:v>
      </x:c>
      <x:c r="AH221" s="30" t="str">
        <x:v>Steel；PTFE Resin；Iron Ore；Fluorspar；Carbon</x:v>
      </x:c>
      <x:c r="AI221" s="30" t="str">
        <x:v>Automotive Industry；Construction Industry；Machinery Manufacturing；Home Appliance；Furniture</x:v>
      </x:c>
      <x:c r="AJ221" s="30" t="str">
        <x:v>羊毛刷</x:v>
      </x:c>
      <x:c r="AK221" s="30" t="str">
        <x:v>expansion-search-wool-brush-page-01</x:v>
      </x:c>
      <x:c r="AL221" s="30" t="str">
        <x:v>UpKuajing customs company contact API</x:v>
      </x:c>
      <x:c r="AM221" s="30" t="str"/>
      <x:c r="AN221" s="30" t="str"/>
      <x:c r="AO221" s="34" t="n">
        <x:v>46220</x:v>
      </x:c>
    </x:row>
    <x:row r="222" ht="44" customHeight="1">
      <x:c r="A222" s="30" t="str">
        <x:v>API联系方式已获取</x:v>
      </x:c>
      <x:c r="B222" s="30" t="str">
        <x:v>常规-全球</x:v>
      </x:c>
      <x:c r="C222" s="30" t="str">
        <x:v>胶带；刷子</x:v>
      </x:c>
      <x:c r="D222" s="31" t="str">
        <x:v>20441331</x:v>
      </x:c>
      <x:c r="E222" s="30" t="str">
        <x:v>I R TECHNOLOGY SERVICES PRIVATE LIMITED</x:v>
      </x:c>
      <x:c r="F222" s="30" t="str">
        <x:v>印度</x:v>
      </x:c>
      <x:c r="G222" s="30" t="str">
        <x:v>accounts_bom@irtech.in</x:v>
      </x:c>
      <x:c r="H222" s="30" t="str">
        <x:f>IF(ISNUMBER(SEARCH(":1",AC222)),"已验证有效",IF(ISNUMBER(SEARCH(":3",AC222)),"验证不确定",IF(ISNUMBER(SEARCH(":0",AC222)),"接口未能检测",IF(ISNUMBER(SEARCH(":2",AC222)),"判定无效",IF(V222&lt;&gt;"","官网已确认-未验证","无邮箱")))))</x:f>
        <x:v>已验证有效</x:v>
      </x:c>
      <x:c r="I222" s="30" t="str">
        <x:v>+91 22 6789 6600</x:v>
      </x:c>
      <x:c r="J222" s="30" t="str">
        <x:v>www.irtech.in</x:v>
      </x:c>
      <x:c r="K222" s="35" t="n">
        <x:f>ROUND((IF(H222="已验证有效",40,IF(V222&lt;&gt;"",20,0))+IF(ISNUMBER(SEARCH("状态1",Y222)),25,0)+IF(J222&lt;&gt;"",20,0)+IF(AA222&lt;&gt;"",15,0))/100,2)</x:f>
        <x:v>1</x:v>
      </x:c>
      <x:c r="L222" s="30" t="str">
        <x:v>待联系</x:v>
      </x:c>
      <x:c r="M222" s="30" t="str"/>
      <x:c r="N222" s="30" t="str">
        <x:v>EL-91, TTC Industrial Area,</x:v>
      </x:c>
      <x:c r="O222" s="30" t="str"/>
      <x:c r="P222" s="30" t="str">
        <x:v>暂无经营范围信息</x:v>
      </x:c>
      <x:c r="Q222" s="32" t="n">
        <x:v>3</x:v>
      </x:c>
      <x:c r="R222" s="32" t="n">
        <x:v>13634</x:v>
      </x:c>
      <x:c r="S222" s="33" t="n">
        <x:v>0.0002</x:v>
      </x:c>
      <x:c r="T222" s="34" t="n">
        <x:v>45737.666666666664</x:v>
      </x:c>
      <x:c r="U222" s="30" t="str">
        <x:v>accounts_bom@irtech.in; info@irtech.in</x:v>
      </x:c>
      <x:c r="V222" s="30" t="str"/>
      <x:c r="W222" s="30" t="str">
        <x:v>02267896600; +91 22 6789 6600; +91 33 4036 1800</x:v>
      </x:c>
      <x:c r="X222" s="30" t="str"/>
      <x:c r="Y222" s="30" t="str">
        <x:v>02267896600:状态2/类型0/WhatsApp0; +91 22 6789 6600:状态1/类型1/WhatsApp2; +91 33 4036 1800:状态1/类型1/WhatsApp2</x:v>
      </x:c>
      <x:c r="Z222" s="30" t="str"/>
      <x:c r="AA222" s="30" t="str">
        <x:v>https://www.facebook.com/IRTechInstruments; https://www.instagram.com/IRTechInstruments; https://www.linkedin.com/company/irtechinstruments; https://www.youtube.com/channel/UCnyw6mclIjZ5AFXaScoD9wQ</x:v>
      </x:c>
      <x:c r="AB222" s="30" t="str"/>
      <x:c r="AC222" s="30" t="str">
        <x:v>accounts_bom@irtech.in:1; info@irtech.in:1</x:v>
      </x:c>
      <x:c r="AD222" s="30" t="str">
        <x:v>Magnetic high temperature tape</x:v>
      </x:c>
      <x:c r="AE222" s="30" t="str">
        <x:v>Magnetic；High temperature；胶带；Leco equipment；Miscellaneous parts</x:v>
      </x:c>
      <x:c r="AF222" s="30" t="str">
        <x:v>608-591, AGNETIC HI TEMP.06X.50 (MISC PARTS FOR LECO EQUIPMENT)TAPE MAGNETIC HI TEMP .06X.50; 625-711-182 ASSY BRUSH CLEANING ELECTRODE LOWER ASSY BRUSH</x:v>
      </x:c>
      <x:c r="AG222" s="30" t="str">
        <x:v>High temperature magnetic tape；Magnetic heat - resistant tape；Heat - resistant magnetic tape；High - temp magnetic tape；Magnetic tape for high temperature</x:v>
      </x:c>
      <x:c r="AH222" s="30" t="str">
        <x:v>Magnetic materials；胶粘剂；Plastic film；橡胶；Fiber</x:v>
      </x:c>
      <x:c r="AI222" s="30" t="str">
        <x:v>Leco equipment；Industrial machinery；Electrical appliances；Automotive parts；Aerospace components</x:v>
      </x:c>
      <x:c r="AJ222" s="30" t="str">
        <x:v>胶带；刷子</x:v>
      </x:c>
      <x:c r="AK222" s="30" t="str">
        <x:v>expansion-search-tape-page-03; expansion-search-brush-page-06</x:v>
      </x:c>
      <x:c r="AL222" s="30" t="str">
        <x:v>UpKuajing customs company contact API</x:v>
      </x:c>
      <x:c r="AM222" s="30" t="str"/>
      <x:c r="AN222" s="30" t="str"/>
      <x:c r="AO222" s="34" t="n">
        <x:v>46220</x:v>
      </x:c>
    </x:row>
    <x:row r="223" ht="44" customHeight="1">
      <x:c r="A223" s="30" t="str">
        <x:v>API联系方式已获取</x:v>
      </x:c>
      <x:c r="B223" s="30" t="str">
        <x:v>常规-全球</x:v>
      </x:c>
      <x:c r="C223" s="30" t="str">
        <x:v>刷子</x:v>
      </x:c>
      <x:c r="D223" s="31" t="str">
        <x:v>20452531</x:v>
      </x:c>
      <x:c r="E223" s="30" t="str">
        <x:v>PHARMAVET DEL PERU SAC</x:v>
      </x:c>
      <x:c r="F223" s="30" t="str">
        <x:v>秘鲁</x:v>
      </x:c>
      <x:c r="G223" s="30" t="str">
        <x:v>info@pharmavetperu.com</x:v>
      </x:c>
      <x:c r="H223" s="30" t="str">
        <x:f>IF(ISNUMBER(SEARCH(":1",AC223)),"已验证有效",IF(ISNUMBER(SEARCH(":3",AC223)),"验证不确定",IF(ISNUMBER(SEARCH(":0",AC223)),"接口未能检测",IF(ISNUMBER(SEARCH(":2",AC223)),"判定无效",IF(V223&lt;&gt;"","官网已确认-未验证","无邮箱")))))</x:f>
        <x:v>已验证有效</x:v>
      </x:c>
      <x:c r="I223" s="30" t="str">
        <x:v>+51 1 2430185</x:v>
      </x:c>
      <x:c r="J223" s="30" t="str">
        <x:v>http://www.pharmavetperu.com/</x:v>
      </x:c>
      <x:c r="K223" s="35" t="n">
        <x:f>ROUND((IF(H223="已验证有效",40,IF(V223&lt;&gt;"",20,0))+IF(ISNUMBER(SEARCH("状态1",Y223)),25,0)+IF(J223&lt;&gt;"",20,0)+IF(AA223&lt;&gt;"",15,0))/100,2)</x:f>
        <x:v>0.85</x:v>
      </x:c>
      <x:c r="L223" s="30" t="str">
        <x:v>待联系</x:v>
      </x:c>
      <x:c r="M223" s="30" t="str"/>
      <x:c r="N223" s="30" t="str">
        <x:v>jr. caraz 112 - barranco lima</x:v>
      </x:c>
      <x:c r="O223" s="30" t="str"/>
      <x:c r="P223" s="30" t="str">
        <x:v>工具，紫红嘴琼脂，国产，标签胶带，玻璃化，抗寄生虫，个人热杯，地板，培养基，葡萄糖，玻璃清洁，机器，蜡笔，缝合针，复印机，二氧化锰，润滑剂，捕手，蓝色呼吸器</x:v>
      </x:c>
      <x:c r="Q223" s="32" t="n">
        <x:v>3</x:v>
      </x:c>
      <x:c r="R223" s="32" t="n">
        <x:v>6245</x:v>
      </x:c>
      <x:c r="S223" s="33" t="n">
        <x:v>0.0005</x:v>
      </x:c>
      <x:c r="T223" s="34" t="n">
        <x:v>45851.666666666664</x:v>
      </x:c>
      <x:c r="U223" s="30" t="str">
        <x:v>info@pharmavetperu.com</x:v>
      </x:c>
      <x:c r="V223" s="30" t="str"/>
      <x:c r="W223" s="30" t="str">
        <x:v>+51 1 2430185; +51 1 5460444; 998167035</x:v>
      </x:c>
      <x:c r="X223" s="30" t="str"/>
      <x:c r="Y223" s="30" t="str">
        <x:v>+51 1 2430185:状态1/类型1/WhatsApp2; +51 1 5460444:状态1/类型1/WhatsApp2; 998167035:状态2/类型0/WhatsApp2</x:v>
      </x:c>
      <x:c r="Z223" s="30" t="str"/>
      <x:c r="AA223" s="30" t="str"/>
      <x:c r="AB223" s="30" t="str"/>
      <x:c r="AC223" s="30" t="str">
        <x:v>info@pharmavetperu.com:1</x:v>
      </x:c>
      <x:c r="AD223" s="30" t="str"/>
      <x:c r="AE223" s="30" t="str"/>
      <x:c r="AF223" s="30" t="str">
        <x:v>CEPILLO DE LIMPIEZA DE TUBERIAS, DELAVAL, S/M CEPILLO DE LIMPIEZA DE TUBERIAS , REPUESTO, MATERIALES DIVERSOS 97206080 SPARE BRUSH FOR LINER LOS DEMAS CEPILLOS QUE CONSTITUYAN PARTES DE MAQUINAS, DE APARATOS O D</x:v>
      </x:c>
      <x:c r="AG223" s="30" t="str"/>
      <x:c r="AH223" s="30" t="str"/>
      <x:c r="AI223" s="30" t="str"/>
      <x:c r="AJ223" s="30" t="str">
        <x:v>刷子</x:v>
      </x:c>
      <x:c r="AK223" s="30" t="str">
        <x:v>expansion-search-brush-page-08</x:v>
      </x:c>
      <x:c r="AL223" s="30" t="str">
        <x:v>UpKuajing customs company contact API</x:v>
      </x:c>
      <x:c r="AM223" s="30" t="str"/>
      <x:c r="AN223" s="30" t="str"/>
      <x:c r="AO223" s="34" t="n">
        <x:v>46220</x:v>
      </x:c>
    </x:row>
    <x:row r="224" ht="44" customHeight="1">
      <x:c r="A224" s="30" t="str">
        <x:v>API联系方式已获取</x:v>
      </x:c>
      <x:c r="B224" s="30" t="str">
        <x:v>常规-全球</x:v>
      </x:c>
      <x:c r="C224" s="30" t="str">
        <x:v>PVC护角条</x:v>
      </x:c>
      <x:c r="D224" s="31" t="str">
        <x:v>304076</x:v>
      </x:c>
      <x:c r="E224" s="30" t="str">
        <x:v>ali traders</x:v>
      </x:c>
      <x:c r="F224" s="30" t="str">
        <x:v>巴基斯坦</x:v>
      </x:c>
      <x:c r="G224" s="30" t="str">
        <x:v>admin@alitrader.net</x:v>
      </x:c>
      <x:c r="H224" s="30" t="str">
        <x:f>IF(ISNUMBER(SEARCH(":1",AC224)),"已验证有效",IF(ISNUMBER(SEARCH(":3",AC224)),"验证不确定",IF(ISNUMBER(SEARCH(":0",AC224)),"接口未能检测",IF(ISNUMBER(SEARCH(":2",AC224)),"判定无效",IF(V224&lt;&gt;"","官网已确认-未验证","无邮箱")))))</x:f>
        <x:v>接口未能检测</x:v>
      </x:c>
      <x:c r="I224" s="30" t="str">
        <x:v>+92 51 4452831</x:v>
      </x:c>
      <x:c r="J224" s="30" t="str">
        <x:v>http://alitrader.net/</x:v>
      </x:c>
      <x:c r="K224" s="35" t="n">
        <x:f>ROUND((IF(H224="已验证有效",40,IF(V224&lt;&gt;"",20,0))+IF(ISNUMBER(SEARCH("状态1",Y224)),25,0)+IF(J224&lt;&gt;"",20,0)+IF(AA224&lt;&gt;"",15,0))/100,2)</x:f>
        <x:v>0.45</x:v>
      </x:c>
      <x:c r="L224" s="30" t="str">
        <x:v>待联系</x:v>
      </x:c>
      <x:c r="M224" s="30" t="str"/>
      <x:c r="N224" s="30" t="str">
        <x:v>2a,second floor, zamurd plaza,chandni chowk,rawalpindi pakistan</x:v>
      </x:c>
      <x:c r="O224" s="30" t="str"/>
      <x:c r="P224" s="30" t="str">
        <x:v>蓝光，聚氯乙烯，硅胶奶嘴，框架，成型机，80，钢铁，机，两个燃烧器，棕色氧化物，进料器，烤架，蒂蒂，二手注塑机，碗，单位，螺旋筛，模型，玻璃制成</x:v>
      </x:c>
      <x:c r="Q224" s="32" t="n">
        <x:v>2</x:v>
      </x:c>
      <x:c r="R224" s="32" t="n">
        <x:v>11589</x:v>
      </x:c>
      <x:c r="S224" s="33" t="n">
        <x:v>0.0002</x:v>
      </x:c>
      <x:c r="T224" s="34" t="n">
        <x:v>45944.666666666664</x:v>
      </x:c>
      <x:c r="U224" s="30" t="str">
        <x:v>admin@alitrader.net</x:v>
      </x:c>
      <x:c r="V224" s="30" t="str"/>
      <x:c r="W224" s="30" t="str">
        <x:v>+92 51 4452831; +92 315 5032644</x:v>
      </x:c>
      <x:c r="X224" s="30" t="str"/>
      <x:c r="Y224" s="30" t="str">
        <x:v>+92 51 4452831:状态1/类型1/WhatsApp2; +92 315 5032644:状态1/类型2/WhatsApp2</x:v>
      </x:c>
      <x:c r="Z224" s="30" t="str"/>
      <x:c r="AA224" s="30" t="str"/>
      <x:c r="AB224" s="30" t="str"/>
      <x:c r="AC224" s="30" t="str">
        <x:v>admin@alitrader.net:0</x:v>
      </x:c>
      <x:c r="AD224" s="30" t="str"/>
      <x:c r="AE224" s="30" t="str">
        <x:v>ppr；guard net；pvc corner；gh</x:v>
      </x:c>
      <x:c r="AF224" s="30" t="str">
        <x:v>6) PVC CORNER GUARD NET WEIGHT: 106 KGS APPROX</x:v>
      </x:c>
      <x:c r="AG224" s="30" t="str"/>
      <x:c r="AH224" s="30" t="str"/>
      <x:c r="AI224" s="30" t="str"/>
      <x:c r="AJ224" s="30" t="str">
        <x:v>PVC护角条</x:v>
      </x:c>
      <x:c r="AK224" s="30" t="str">
        <x:v>expansion-search-pvc-corner-guard-page-01</x:v>
      </x:c>
      <x:c r="AL224" s="30" t="str">
        <x:v>UpKuajing customs company contact API</x:v>
      </x:c>
      <x:c r="AM224" s="30" t="str"/>
      <x:c r="AN224" s="30" t="str"/>
      <x:c r="AO224" s="34" t="n">
        <x:v>46220</x:v>
      </x:c>
    </x:row>
    <x:row r="225" ht="44" customHeight="1">
      <x:c r="A225" s="30" t="str">
        <x:v>API联系方式已获取</x:v>
      </x:c>
      <x:c r="B225" s="30" t="str">
        <x:v>常规-全球</x:v>
      </x:c>
      <x:c r="C225" s="30" t="str">
        <x:v>遮蔽膜</x:v>
      </x:c>
      <x:c r="D225" s="31" t="str">
        <x:v>28423040</x:v>
      </x:c>
      <x:c r="E225" s="30" t="str">
        <x:v>ANIKA GLOBAL TRADING PRIVATE LIMITED</x:v>
      </x:c>
      <x:c r="F225" s="30" t="str">
        <x:v>印度</x:v>
      </x:c>
      <x:c r="G225" s="30" t="str">
        <x:v>shahrukh.mallick@anika.in</x:v>
      </x:c>
      <x:c r="H225" s="30" t="str">
        <x:f>IF(ISNUMBER(SEARCH(":1",AC225)),"已验证有效",IF(ISNUMBER(SEARCH(":3",AC225)),"验证不确定",IF(ISNUMBER(SEARCH(":0",AC225)),"接口未能检测",IF(ISNUMBER(SEARCH(":2",AC225)),"判定无效",IF(V225&lt;&gt;"","官网已确认-未验证","无邮箱")))))</x:f>
        <x:v>已验证有效</x:v>
      </x:c>
      <x:c r="I225" s="30" t="str">
        <x:v>+91 11 4728 9900</x:v>
      </x:c>
      <x:c r="J225" s="30" t="str">
        <x:v>www.anikaglobal.in</x:v>
      </x:c>
      <x:c r="K225" s="35" t="n">
        <x:f>ROUND((IF(H225="已验证有效",40,IF(V225&lt;&gt;"",20,0))+IF(ISNUMBER(SEARCH("状态1",Y225)),25,0)+IF(J225&lt;&gt;"",20,0)+IF(AA225&lt;&gt;"",15,0))/100,2)</x:f>
        <x:v>1</x:v>
      </x:c>
      <x:c r="L225" s="30" t="str">
        <x:v>待联系</x:v>
      </x:c>
      <x:c r="M225" s="30" t="str"/>
      <x:c r="N225" s="30" t="str">
        <x:v>F-402, 4TH FLOOR PLOT NO. D-1 , DISTRICT CENTRE "RAS VILAS" , SAKET</x:v>
      </x:c>
      <x:c r="O225" s="30" t="str"/>
      <x:c r="P225" s="30" t="str">
        <x:v>暂无经营范围信息</x:v>
      </x:c>
      <x:c r="Q225" s="32" t="n">
        <x:v>2</x:v>
      </x:c>
      <x:c r="R225" s="32" t="n">
        <x:v>77</x:v>
      </x:c>
      <x:c r="S225" s="33" t="n">
        <x:v>0.026000000000000002</x:v>
      </x:c>
      <x:c r="T225" s="34" t="n">
        <x:v>45678.666666666664</x:v>
      </x:c>
      <x:c r="U225" s="30" t="str">
        <x:v>shahrukh.mallick@anika.in</x:v>
      </x:c>
      <x:c r="V225" s="30" t="str"/>
      <x:c r="W225" s="30" t="str">
        <x:v>+91 11 4728 9900</x:v>
      </x:c>
      <x:c r="X225" s="30" t="str"/>
      <x:c r="Y225" s="30" t="str">
        <x:v>+91 11 4728 9900:状态1/类型1/WhatsApp2</x:v>
      </x:c>
      <x:c r="Z225" s="30" t="str"/>
      <x:c r="AA225" s="30" t="str">
        <x:v>https://www.facebook.com/anikaglobal; https://www.instagram.com/anikaglobal; https://www.linkedin.com/company/anika-global-trading-pvt-ltd; https://twitter.com/Anika_Global</x:v>
      </x:c>
      <x:c r="AB225" s="30" t="str"/>
      <x:c r="AC225" s="30" t="str">
        <x:v>shahrukh.mallick@anika.in:1</x:v>
      </x:c>
      <x:c r="AD225" s="30" t="str">
        <x:v>LEXAN SHEET；聚乙烯遮蔽膜</x:v>
      </x:c>
      <x:c r="AE225" s="30" t="str">
        <x:v>LEXAN SHEET；聚乙烯遮蔽膜；聚乙烯；遮蔽；White</x:v>
      </x:c>
      <x:c r="AF225" s="30" t="str">
        <x:v>PFC 627/60 SA MW LEXAN SHEET WHITE 60UM, 1.270MM WIDTH (POLYETHYLENE MASKING  FILM) (52.451 SQM) (42 ROLL).PFC 627/60 SA MW LEXAN SHEET WHITE 60UM, 1.270MM WIDTH (POLY</x:v>
      </x:c>
      <x:c r="AG225" s="30" t="str">
        <x:v>Polycarbonate sheet；PE遮蔽膜；Lexan plastic sheet；Polyethylene film；Masking sheet</x:v>
      </x:c>
      <x:c r="AH225" s="30" t="str">
        <x:v>聚乙烯树脂；Polycarbonate resin；Plastic raw materials；化学添加剂；聚合物</x:v>
      </x:c>
      <x:c r="AI225" s="30" t="str">
        <x:v>Automotive manufacturing；Electronics industry；Construction industry；Packaging industry；Printing industry</x:v>
      </x:c>
      <x:c r="AJ225" s="30" t="str">
        <x:v>遮蔽膜</x:v>
      </x:c>
      <x:c r="AK225" s="30" t="str">
        <x:v>expansion-search-masking-film-page-02</x:v>
      </x:c>
      <x:c r="AL225" s="30" t="str">
        <x:v>UpKuajing customs company contact API</x:v>
      </x:c>
      <x:c r="AM225" s="30" t="str"/>
      <x:c r="AN225" s="30" t="str"/>
      <x:c r="AO225" s="34" t="n">
        <x:v>46220</x:v>
      </x:c>
    </x:row>
    <x:row r="226" ht="44" customHeight="1">
      <x:c r="A226" s="30" t="str">
        <x:v>API联系方式已获取</x:v>
      </x:c>
      <x:c r="B226" s="30" t="str">
        <x:v>常规-全球</x:v>
      </x:c>
      <x:c r="C226" s="30" t="str">
        <x:v>胶带</x:v>
      </x:c>
      <x:c r="D226" s="31" t="str">
        <x:v>20432711</x:v>
      </x:c>
      <x:c r="E226" s="30" t="str">
        <x:v>ASIA CHEMICAL CORPORATION</x:v>
      </x:c>
      <x:c r="F226" s="30" t="str">
        <x:v>越南</x:v>
      </x:c>
      <x:c r="G226" s="30" t="str">
        <x:v>acc103@asia-chemical.com</x:v>
      </x:c>
      <x:c r="H226" s="30" t="str">
        <x:f>IF(ISNUMBER(SEARCH(":1",AC226)),"已验证有效",IF(ISNUMBER(SEARCH(":3",AC226)),"验证不确定",IF(ISNUMBER(SEARCH(":0",AC226)),"接口未能检测",IF(ISNUMBER(SEARCH(":2",AC226)),"判定无效",IF(V226&lt;&gt;"","官网已确认-未验证","无邮箱")))))</x:f>
        <x:v>已验证有效</x:v>
      </x:c>
      <x:c r="I226" s="30" t="str">
        <x:v>+84 28 3886 8174</x:v>
      </x:c>
      <x:c r="J226" s="30" t="str">
        <x:v>asia-chemical.com</x:v>
      </x:c>
      <x:c r="K226" s="35" t="n">
        <x:f>ROUND((IF(H226="已验证有效",40,IF(V226&lt;&gt;"",20,0))+IF(ISNUMBER(SEARCH("状态1",Y226)),25,0)+IF(J226&lt;&gt;"",20,0)+IF(AA226&lt;&gt;"",15,0))/100,2)</x:f>
        <x:v>1</x:v>
      </x:c>
      <x:c r="L226" s="30" t="str">
        <x:v>待联系</x:v>
      </x:c>
      <x:c r="M226" s="30" t="str"/>
      <x:c r="N226" s="30" t="str">
        <x:v>LO K4B INDUSTRIAL PARK LE MINH XUAN, ROAD NO 4 , COMMUNE LE MINH XUAN , DISTRICT BINH CHANH</x:v>
      </x:c>
      <x:c r="O226" s="30" t="str"/>
      <x:c r="P226" s="30" t="str">
        <x:v>化学品及相关产品</x:v>
      </x:c>
      <x:c r="Q226" s="32" t="n">
        <x:v>2</x:v>
      </x:c>
      <x:c r="R226" s="32" t="n">
        <x:v>16211</x:v>
      </x:c>
      <x:c r="S226" s="33" t="n">
        <x:v>0.0001</x:v>
      </x:c>
      <x:c r="T226" s="34" t="n">
        <x:v>46106.666666666664</x:v>
      </x:c>
      <x:c r="U226" s="30" t="str">
        <x:v>20acc103@asia-chemical.com; acc103@asia-chemical.com; danhnguyen@asia-chemical.com; info@asia-chemical.com; info@canhcam.vn</x:v>
      </x:c>
      <x:c r="V226" s="30" t="str"/>
      <x:c r="W226" s="30" t="str">
        <x:v>+84 28 3886 8174; +84 838 238 364</x:v>
      </x:c>
      <x:c r="X226" s="30" t="str"/>
      <x:c r="Y226" s="30" t="str">
        <x:v>+84 28 3886 8174:状态1/类型1/WhatsApp2; +84 838 238 364:状态1/类型2/WhatsApp2</x:v>
      </x:c>
      <x:c r="Z226" s="30" t="str"/>
      <x:c r="AA226" s="30" t="str">
        <x:v>https://www.facebook.com/Asia-Chemical-Corporation-385742511835005; https://www.linkedin.com/company/asia-chemical; https://www.youtube.com/channels</x:v>
      </x:c>
      <x:c r="AB226" s="30" t="str"/>
      <x:c r="AC226" s="30" t="str">
        <x:v>20acc103@asia-chemical.com:0; acc103@asia-chemical.com:1; danhnguyen@asia-chemical.com:1; info@asia-chemical.com:1; info@canhcam.vn:1</x:v>
      </x:c>
      <x:c r="AD226" s="30" t="str"/>
      <x:c r="AE226" s="30" t="str"/>
      <x:c r="AF226" s="30" t="str">
        <x:v>Raw materials used in industrial production of parchment paper with masking tape - Sillicon - DEHESIVE 38183 KR, NSX: WACKER CHEMICALS KOREA INC., NSX: 02/2026, HSD: 08/2027</x:v>
      </x:c>
      <x:c r="AG226" s="30" t="str"/>
      <x:c r="AH226" s="30" t="str"/>
      <x:c r="AI226" s="30" t="str"/>
      <x:c r="AJ226" s="30" t="str">
        <x:v>胶带</x:v>
      </x:c>
      <x:c r="AK226" s="30" t="str">
        <x:v>expansion-search-tape-page-02</x:v>
      </x:c>
      <x:c r="AL226" s="30" t="str">
        <x:v>UpKuajing customs company contact API</x:v>
      </x:c>
      <x:c r="AM226" s="30" t="str"/>
      <x:c r="AN226" s="30" t="str"/>
      <x:c r="AO226" s="34" t="n">
        <x:v>46220</x:v>
      </x:c>
    </x:row>
    <x:row r="227" ht="44" customHeight="1">
      <x:c r="A227" s="30" t="str">
        <x:v>API联系方式已获取</x:v>
      </x:c>
      <x:c r="B227" s="30" t="str">
        <x:v>常规-全球</x:v>
      </x:c>
      <x:c r="C227" s="30" t="str">
        <x:v>刷子</x:v>
      </x:c>
      <x:c r="D227" s="31" t="str">
        <x:v>20455700</x:v>
      </x:c>
      <x:c r="E227" s="30" t="str">
        <x:v>AUTOXPRESS LIMITED</x:v>
      </x:c>
      <x:c r="F227" s="30" t="str">
        <x:v>肯尼亚</x:v>
      </x:c>
      <x:c r="G227" s="30" t="str">
        <x:v>info@auxpke.com</x:v>
      </x:c>
      <x:c r="H227" s="30" t="str">
        <x:f>IF(ISNUMBER(SEARCH(":1",AC227)),"已验证有效",IF(ISNUMBER(SEARCH(":3",AC227)),"验证不确定",IF(ISNUMBER(SEARCH(":0",AC227)),"接口未能检测",IF(ISNUMBER(SEARCH(":2",AC227)),"判定无效",IF(V227&lt;&gt;"","官网已确认-未验证","无邮箱")))))</x:f>
        <x:v>接口未能检测</x:v>
      </x:c>
      <x:c r="I227" s="30" t="str">
        <x:v>+254 735 253411</x:v>
      </x:c>
      <x:c r="J227" s="30" t="str">
        <x:v>www.auto-xpress.co.ke</x:v>
      </x:c>
      <x:c r="K227" s="35" t="n">
        <x:f>ROUND((IF(H227="已验证有效",40,IF(V227&lt;&gt;"",20,0))+IF(ISNUMBER(SEARCH("状态1",Y227)),25,0)+IF(J227&lt;&gt;"",20,0)+IF(AA227&lt;&gt;"",15,0))/100,2)</x:f>
        <x:v>0.6</x:v>
      </x:c>
      <x:c r="L227" s="30" t="str">
        <x:v>待联系</x:v>
      </x:c>
      <x:c r="M227" s="30" t="str"/>
      <x:c r="N227" s="30" t="str">
        <x:v>PLOT LR NO. 209/16979 ,  AUTOXPRESS BUILDING ,  LIMURU ROAD</x:v>
      </x:c>
      <x:c r="O227" s="30" t="str"/>
      <x:c r="P227" s="30" t="str">
        <x:v>轮胎和内胎</x:v>
      </x:c>
      <x:c r="Q227" s="32" t="n">
        <x:v>2</x:v>
      </x:c>
      <x:c r="R227" s="32" t="n">
        <x:v>10282</x:v>
      </x:c>
      <x:c r="S227" s="33" t="n">
        <x:v>0.0002</x:v>
      </x:c>
      <x:c r="T227" s="34" t="n">
        <x:v>45760.666666666664</x:v>
      </x:c>
      <x:c r="U227" s="30" t="str">
        <x:v>info@auxpke.com</x:v>
      </x:c>
      <x:c r="V227" s="30" t="str"/>
      <x:c r="W227" s="30" t="str">
        <x:v>+254 735 253411</x:v>
      </x:c>
      <x:c r="X227" s="30" t="str"/>
      <x:c r="Y227" s="30" t="str">
        <x:v>+254 735 253411:状态1/类型2/WhatsApp2</x:v>
      </x:c>
      <x:c r="Z227" s="30" t="str"/>
      <x:c r="AA227" s="30" t="str">
        <x:v>https://www.facebook.com/AutoXpressKenya/?_rdc=1&amp;_rdr; https://www.instagram.com/autoxpresskenya?igshid=1pfbomn0zw2pg; https://twitter.com/AutoxpressKenya?s=21</x:v>
      </x:c>
      <x:c r="AB227" s="30" t="str"/>
      <x:c r="AC227" s="30" t="str">
        <x:v>info@auxpke.com:0</x:v>
      </x:c>
      <x:c r="AD227" s="30" t="str">
        <x:v>Brass brush</x:v>
      </x:c>
      <x:c r="AE227" s="30" t="str">
        <x:v>Brass；刷子</x:v>
      </x:c>
      <x:c r="AF227" s="30" t="str">
        <x:v>BRASS BRUSH 160 X 45 HOLE D. 77 MM; BRASS BRUSH 160 X 45 HOLE D. 77 MM; 1; 2; 1; OTHER BRUSHES CONSTITUTING PARTS OF MACHINES, APPLIANCES OR VEHICLES.</x:v>
      </x:c>
      <x:c r="AG227" s="30" t="str">
        <x:v>Metal brush；Copper alloy brush；Scrub brush；Wire brush；Cleaning brush</x:v>
      </x:c>
      <x:c r="AH227" s="30" t="str">
        <x:v>Brass ingot；Copper；Zinc；Alloy；金属</x:v>
      </x:c>
      <x:c r="AI227" s="30" t="str">
        <x:v>Machinery maintenance；Vehicle cleaning；Appliance cleaning；Industrial cleaning；Home cleaning</x:v>
      </x:c>
      <x:c r="AJ227" s="30" t="str">
        <x:v>刷子</x:v>
      </x:c>
      <x:c r="AK227" s="30" t="str">
        <x:v>expansion-search-brush-page-09</x:v>
      </x:c>
      <x:c r="AL227" s="30" t="str">
        <x:v>UpKuajing customs company contact API</x:v>
      </x:c>
      <x:c r="AM227" s="30" t="str"/>
      <x:c r="AN227" s="30" t="str"/>
      <x:c r="AO227" s="34" t="n">
        <x:v>46220</x:v>
      </x:c>
    </x:row>
    <x:row r="228" ht="44" customHeight="1">
      <x:c r="A228" s="30" t="str">
        <x:v>API联系方式已获取</x:v>
      </x:c>
      <x:c r="B228" s="30" t="str">
        <x:v>常规-全球</x:v>
      </x:c>
      <x:c r="C228" s="30" t="str">
        <x:v>刷子</x:v>
      </x:c>
      <x:c r="D228" s="31" t="str">
        <x:v>20431306</x:v>
      </x:c>
      <x:c r="E228" s="30" t="str">
        <x:v>BHOTIKA TRADE AND SERVICES PRIVATE LIMITED</x:v>
      </x:c>
      <x:c r="F228" s="30" t="str">
        <x:v>印度</x:v>
      </x:c>
      <x:c r="G228" s="30" t="str">
        <x:v>subodh@bhotika.com</x:v>
      </x:c>
      <x:c r="H228" s="30" t="str">
        <x:f>IF(ISNUMBER(SEARCH(":1",AC228)),"已验证有效",IF(ISNUMBER(SEARCH(":3",AC228)),"验证不确定",IF(ISNUMBER(SEARCH(":0",AC228)),"接口未能检测",IF(ISNUMBER(SEARCH(":2",AC228)),"判定无效",IF(V228&lt;&gt;"","官网已确认-未验证","无邮箱")))))</x:f>
        <x:v>已验证有效</x:v>
      </x:c>
      <x:c r="I228" s="30" t="str">
        <x:v>+91 11 4000 0215</x:v>
      </x:c>
      <x:c r="J228" s="30" t="str">
        <x:v>bhotika.com</x:v>
      </x:c>
      <x:c r="K228" s="35" t="n">
        <x:f>ROUND((IF(H228="已验证有效",40,IF(V228&lt;&gt;"",20,0))+IF(ISNUMBER(SEARCH("状态1",Y228)),25,0)+IF(J228&lt;&gt;"",20,0)+IF(AA228&lt;&gt;"",15,0))/100,2)</x:f>
        <x:v>1</x:v>
      </x:c>
      <x:c r="L228" s="30" t="str">
        <x:v>待联系</x:v>
      </x:c>
      <x:c r="M228" s="30" t="str"/>
      <x:c r="N228" s="30" t="str">
        <x:v>NO. SF-11, SECOND FLOOR, VASANT SQUARE MALL, COMMUNITY CENTRE, VAST KUNJ</x:v>
      </x:c>
      <x:c r="O228" s="30" t="str"/>
      <x:c r="P228" s="30" t="str">
        <x:v>暂无经营范围信息</x:v>
      </x:c>
      <x:c r="Q228" s="32" t="n">
        <x:v>2</x:v>
      </x:c>
      <x:c r="R228" s="32" t="n">
        <x:v>1211</x:v>
      </x:c>
      <x:c r="S228" s="33" t="n">
        <x:v>0.0017000000000000001</x:v>
      </x:c>
      <x:c r="T228" s="34" t="n">
        <x:v>45856.666666666664</x:v>
      </x:c>
      <x:c r="U228" s="30" t="str">
        <x:v>subodh@bhotika.com</x:v>
      </x:c>
      <x:c r="V228" s="30" t="str"/>
      <x:c r="W228" s="30" t="str">
        <x:v>+91 11 4000 0215</x:v>
      </x:c>
      <x:c r="X228" s="30" t="str"/>
      <x:c r="Y228" s="30" t="str">
        <x:v>+91 11 4000 0215:状态1/类型1/WhatsApp2</x:v>
      </x:c>
      <x:c r="Z228" s="30" t="str"/>
      <x:c r="AA228" s="30" t="str">
        <x:v>https://www.linkedin.com/company/bhotika-trade-and-services-private-limited</x:v>
      </x:c>
      <x:c r="AB228" s="30" t="str"/>
      <x:c r="AC228" s="30" t="str">
        <x:v>subodh@bhotika.com:1</x:v>
      </x:c>
      <x:c r="AD228" s="30" t="str">
        <x:v>Brush &amp; Spring Assembly</x:v>
      </x:c>
      <x:c r="AE228" s="30" t="str">
        <x:v>刷子；Spring；Assembly；Welding equipment</x:v>
      </x:c>
      <x:c r="AF228" s="30" t="str">
        <x:v>BRUSH &amp; SPRING ASBLY (PART NO:M13312-12)(FOR WELDING EQUIPMENT)(C.O:USA)BRUSH &amp; SPRING ASBLY (FOR WELDING EQUIPMENT)</x:v>
      </x:c>
      <x:c r="AG228" s="30" t="str">
        <x:v>Brush and Spring Combination；Brush Spring Unit；Spring Brush Assembly；Welding Brush Spring Assembly；Brush Spring Component</x:v>
      </x:c>
      <x:c r="AH228" s="30" t="str">
        <x:v>金属；塑料；Brush material；Spring steel；Electrical components</x:v>
      </x:c>
      <x:c r="AI228" s="30" t="str">
        <x:v>Welding machines；Industrial welding equipment；Automotive welding tools；Construction welding devices；Manufacturing welding systems</x:v>
      </x:c>
      <x:c r="AJ228" s="30" t="str">
        <x:v>刷子</x:v>
      </x:c>
      <x:c r="AK228" s="30" t="str">
        <x:v>expansion-search-brush-page-04; expansion-search-brush-page-05</x:v>
      </x:c>
      <x:c r="AL228" s="30" t="str">
        <x:v>UpKuajing customs company contact API</x:v>
      </x:c>
      <x:c r="AM228" s="30" t="str"/>
      <x:c r="AN228" s="30" t="str"/>
      <x:c r="AO228" s="34" t="n">
        <x:v>46220</x:v>
      </x:c>
    </x:row>
    <x:row r="229" ht="44" customHeight="1">
      <x:c r="A229" s="30" t="str">
        <x:v>API联系方式已获取</x:v>
      </x:c>
      <x:c r="B229" s="30" t="str">
        <x:v>常规-全球</x:v>
      </x:c>
      <x:c r="C229" s="30" t="str">
        <x:v>刷子</x:v>
      </x:c>
      <x:c r="D229" s="31" t="str">
        <x:v>20443113</x:v>
      </x:c>
      <x:c r="E229" s="30" t="str">
        <x:v>CLARKE ENERGY INDIA PRIVATE LIMITED</x:v>
      </x:c>
      <x:c r="F229" s="30" t="str">
        <x:v>印度</x:v>
      </x:c>
      <x:c r="G229" s="30" t="str">
        <x:v>vijay.kulkarni@clarke-energy.com</x:v>
      </x:c>
      <x:c r="H229" s="30" t="str">
        <x:f>IF(ISNUMBER(SEARCH(":1",AC229)),"已验证有效",IF(ISNUMBER(SEARCH(":3",AC229)),"验证不确定",IF(ISNUMBER(SEARCH(":0",AC229)),"接口未能检测",IF(ISNUMBER(SEARCH(":2",AC229)),"判定无效",IF(V229&lt;&gt;"","官网已确认-未验证","无邮箱")))))</x:f>
        <x:v>已验证有效</x:v>
      </x:c>
      <x:c r="I229" s="30" t="str">
        <x:v>+91 93734 08632</x:v>
      </x:c>
      <x:c r="J229" s="30" t="str">
        <x:v>www.clarke-energy.com</x:v>
      </x:c>
      <x:c r="K229" s="35" t="n">
        <x:f>ROUND((IF(H229="已验证有效",40,IF(V229&lt;&gt;"",20,0))+IF(ISNUMBER(SEARCH("状态1",Y229)),25,0)+IF(J229&lt;&gt;"",20,0)+IF(AA229&lt;&gt;"",15,0))/100,2)</x:f>
        <x:v>1</x:v>
      </x:c>
      <x:c r="L229" s="30" t="str">
        <x:v>待联系</x:v>
      </x:c>
      <x:c r="M229" s="30" t="str"/>
      <x:c r="N229" s="30" t="str">
        <x:v>SHIVKIRAN, PLOT NO. 160 CTS NO. 632 LANE , DAHANUKAR COLONY, KOTHRUD</x:v>
      </x:c>
      <x:c r="O229" s="30" t="str"/>
      <x:c r="P229" s="30" t="str">
        <x:v>燃气发动机在印度的授权经销商和服务提供商，分别供应用于发电和气体压缩的和产品系列</x:v>
      </x:c>
      <x:c r="Q229" s="32" t="n">
        <x:v>2</x:v>
      </x:c>
      <x:c r="R229" s="32" t="n">
        <x:v>10904</x:v>
      </x:c>
      <x:c r="S229" s="33" t="n">
        <x:v>0.0002</x:v>
      </x:c>
      <x:c r="T229" s="34" t="n">
        <x:v>45774.666666666664</x:v>
      </x:c>
      <x:c r="U229" s="30" t="str">
        <x:v>vijay.kulkarni@clarke-energy.com</x:v>
      </x:c>
      <x:c r="V229" s="30" t="str"/>
      <x:c r="W229" s="30" t="str">
        <x:v>+91 93734 08632</x:v>
      </x:c>
      <x:c r="X229" s="30" t="str"/>
      <x:c r="Y229" s="30" t="str">
        <x:v>+91 93734 08632:状态1/类型2/WhatsApp1</x:v>
      </x:c>
      <x:c r="Z229" s="30" t="str">
        <x:v>+91 93734 08632</x:v>
      </x:c>
      <x:c r="AA229" s="30" t="str">
        <x:v>https://www.facebook.com/ClarkeEnergy; https://www.instagram.com/clarkeenergy; https://www.linkedin.com/company/clarke-energy; https://twitter.com/ClarkeEnergy; https://www.youtube.com/channel/UCk8yPGKae3FdoPVTj-X3c3A</x:v>
      </x:c>
      <x:c r="AB229" s="30" t="str"/>
      <x:c r="AC229" s="30" t="str">
        <x:v>vijay.kulkarni@clarke-energy.com:1</x:v>
      </x:c>
      <x:c r="AD229" s="30" t="str">
        <x:v>Carbon brush</x:v>
      </x:c>
      <x:c r="AE229" s="30" t="str">
        <x:v>Carbon brush；Genset；工业用途</x:v>
      </x:c>
      <x:c r="AF229" s="30" t="str">
        <x:v>1226801 CARBON BRUSH (FOR GAS BASED GENSET FOR INDUSTRIAL USE)1226801 CARBON BRUSH (FOR GAS BASED GENSET FOR INDUSTRIAL</x:v>
      </x:c>
      <x:c r="AG229" s="30" t="str">
        <x:v>Carbon electric brush；Graphite brush；Motor brush；Generator brush；Commutator brush</x:v>
      </x:c>
      <x:c r="AH229" s="30" t="str">
        <x:v>Carbon；Graphite；Copper powder；Resin；Metal oxide</x:v>
      </x:c>
      <x:c r="AI229" s="30" t="str">
        <x:v>Industrial generators；Electric motors；Automotive alternators；Power tools；家用电器</x:v>
      </x:c>
      <x:c r="AJ229" s="30" t="str">
        <x:v>刷子</x:v>
      </x:c>
      <x:c r="AK229" s="30" t="str">
        <x:v>expansion-search-brush-page-07</x:v>
      </x:c>
      <x:c r="AL229" s="30" t="str">
        <x:v>UpKuajing customs company contact API</x:v>
      </x:c>
      <x:c r="AM229" s="30" t="str"/>
      <x:c r="AN229" s="30" t="str"/>
      <x:c r="AO229" s="34" t="n">
        <x:v>46220</x:v>
      </x:c>
    </x:row>
    <x:row r="230" ht="44" customHeight="1">
      <x:c r="A230" s="30" t="str">
        <x:v>API联系方式已获取</x:v>
      </x:c>
      <x:c r="B230" s="30" t="str">
        <x:v>常规-全球</x:v>
      </x:c>
      <x:c r="C230" s="30" t="str">
        <x:v>羊毛刷</x:v>
      </x:c>
      <x:c r="D230" s="31" t="str">
        <x:v>379750</x:v>
      </x:c>
      <x:c r="E230" s="30" t="str">
        <x:v>coco&amp;more chocolates pvt ltd.</x:v>
      </x:c>
      <x:c r="F230" s="30" t="str">
        <x:v>印度</x:v>
      </x:c>
      <x:c r="G230" s="30" t="str">
        <x:v>az@cocoandmore.com</x:v>
      </x:c>
      <x:c r="H230" s="30" t="str">
        <x:f>IF(ISNUMBER(SEARCH(":1",AC230)),"已验证有效",IF(ISNUMBER(SEARCH(":3",AC230)),"验证不确定",IF(ISNUMBER(SEARCH(":0",AC230)),"接口未能检测",IF(ISNUMBER(SEARCH(":2",AC230)),"判定无效",IF(V230&lt;&gt;"","官网已确认-未验证","无邮箱")))))</x:f>
        <x:v>已验证有效</x:v>
      </x:c>
      <x:c r="I230" s="30" t="str"/>
      <x:c r="J230" s="30" t="str"/>
      <x:c r="K230" s="35" t="n">
        <x:f>ROUND((IF(H230="已验证有效",40,IF(V230&lt;&gt;"",20,0))+IF(ISNUMBER(SEARCH("状态1",Y230)),25,0)+IF(J230&lt;&gt;"",20,0)+IF(AA230&lt;&gt;"",15,0))/100,2)</x:f>
        <x:v>0.4</x:v>
      </x:c>
      <x:c r="L230" s="30" t="str">
        <x:v>待联系</x:v>
      </x:c>
      <x:c r="M230" s="30" t="str"/>
      <x:c r="N230" s="30" t="str">
        <x:v>1, paulina chs ltd.,plot no.96/97, sewree wadala rd, no.7,wadala-w, mumbai,pin-400031</x:v>
      </x:c>
      <x:c r="O230" s="30" t="str"/>
      <x:c r="P230" s="30" t="str">
        <x:v>袋式烘干机，430，叉子，螺旋形，涂层，工程塑料塑料，猿，环，桌子，刷子，百合花，去除剂，热，4，烤箱手套，抹刀，大理石卷</x:v>
      </x:c>
      <x:c r="Q230" s="32" t="n">
        <x:v>2</x:v>
      </x:c>
      <x:c r="R230" s="32" t="n">
        <x:v>4657</x:v>
      </x:c>
      <x:c r="S230" s="33" t="n">
        <x:v>0.0004</x:v>
      </x:c>
      <x:c r="T230" s="34" t="n">
        <x:v>45702.666666666664</x:v>
      </x:c>
      <x:c r="U230" s="30" t="str">
        <x:v>az@cocoandmore.com</x:v>
      </x:c>
      <x:c r="V230" s="30" t="str"/>
      <x:c r="W230" s="30" t="str"/>
      <x:c r="X230" s="30" t="str"/>
      <x:c r="Y230" s="30" t="str"/>
      <x:c r="Z230" s="30" t="str"/>
      <x:c r="AA230" s="30" t="str"/>
      <x:c r="AB230" s="30" t="str"/>
      <x:c r="AC230" s="30" t="str">
        <x:v>az@cocoandmore.com:1</x:v>
      </x:c>
      <x:c r="AD230" s="30" t="str"/>
      <x:c r="AE230" s="30" t="str">
        <x:v>pastry brush；bake；antibacteria；塑料；kitchen article；wool；ware；plastic handle</x:v>
      </x:c>
      <x:c r="AF230" s="30" t="str">
        <x:v>SN4121 Antibacterial Wool Pastry Brush-Plastic Handle (Wool+Plastic) 25 NOS -BAKEWARE KITCHEN ARTICLESN4121 Antibacterial Wool Pastry Brush-Plastic Handle Wool +</x:v>
      </x:c>
      <x:c r="AG230" s="30" t="str"/>
      <x:c r="AH230" s="30" t="str"/>
      <x:c r="AI230" s="30" t="str"/>
      <x:c r="AJ230" s="30" t="str">
        <x:v>羊毛刷</x:v>
      </x:c>
      <x:c r="AK230" s="30" t="str">
        <x:v>expansion-search-wool-brush-page-01</x:v>
      </x:c>
      <x:c r="AL230" s="30" t="str">
        <x:v>UpKuajing customs company contact API</x:v>
      </x:c>
      <x:c r="AM230" s="30" t="str"/>
      <x:c r="AN230" s="30" t="str"/>
      <x:c r="AO230" s="34" t="n">
        <x:v>46220</x:v>
      </x:c>
    </x:row>
    <x:row r="231" ht="44" customHeight="1">
      <x:c r="A231" s="30" t="str">
        <x:v>API联系方式已获取</x:v>
      </x:c>
      <x:c r="B231" s="30" t="str">
        <x:v>常规-全球</x:v>
      </x:c>
      <x:c r="C231" s="30" t="str">
        <x:v>羊毛刷</x:v>
      </x:c>
      <x:c r="D231" s="31" t="str">
        <x:v>188428</x:v>
      </x:c>
      <x:c r="E231" s="30" t="str">
        <x:v>công ty tnhh kỹ thuật việt hàn</x:v>
      </x:c>
      <x:c r="F231" s="30" t="str">
        <x:v>越南</x:v>
      </x:c>
      <x:c r="G231" s="30" t="str">
        <x:v>kythuatviethan@gmail.com</x:v>
      </x:c>
      <x:c r="H231" s="30" t="str">
        <x:f>IF(ISNUMBER(SEARCH(":1",AC231)),"已验证有效",IF(ISNUMBER(SEARCH(":3",AC231)),"验证不确定",IF(ISNUMBER(SEARCH(":0",AC231)),"接口未能检测",IF(ISNUMBER(SEARCH(":2",AC231)),"判定无效",IF(V231&lt;&gt;"","官网已确认-未验证","无邮箱")))))</x:f>
        <x:v>已验证有效</x:v>
      </x:c>
      <x:c r="I231" s="30" t="str"/>
      <x:c r="J231" s="30" t="str"/>
      <x:c r="K231" s="35" t="n">
        <x:f>ROUND((IF(H231="已验证有效",40,IF(V231&lt;&gt;"",20,0))+IF(ISNUMBER(SEARCH("状态1",Y231)),25,0)+IF(J231&lt;&gt;"",20,0)+IF(AA231&lt;&gt;"",15,0))/100,2)</x:f>
        <x:v>0.4</x:v>
      </x:c>
      <x:c r="L231" s="30" t="str">
        <x:v>待联系</x:v>
      </x:c>
      <x:c r="M231" s="30" t="str"/>
      <x:c r="N231" s="30" t="str">
        <x:v>38 nguyễn bá tuyển, p.12, q. tân bình,tp. hồ chí minh (tphcm)</x:v>
      </x:c>
      <x:c r="O231" s="30" t="str"/>
      <x:c r="P231" s="30" t="str">
        <x:v>开口销、板材、不锈钢管、饲料添加剂、格栅、螺栓、润滑油、管材、铜制品、玻璃纤维、垫圈、非合金钢卷、型钢、碳钢管、普通钢型钢、不锈钢、旋钮、不锈钢棒、弹簧、网</x:v>
      </x:c>
      <x:c r="Q231" s="32" t="n">
        <x:v>2</x:v>
      </x:c>
      <x:c r="R231" s="32" t="n">
        <x:v>5496</x:v>
      </x:c>
      <x:c r="S231" s="33" t="n">
        <x:v>0.0004</x:v>
      </x:c>
      <x:c r="T231" s="34" t="n">
        <x:v>45838.666666666664</x:v>
      </x:c>
      <x:c r="U231" s="30" t="str">
        <x:v>kythuatviethan@gmail.com</x:v>
      </x:c>
      <x:c r="V231" s="30" t="str"/>
      <x:c r="W231" s="30" t="str"/>
      <x:c r="X231" s="30" t="str"/>
      <x:c r="Y231" s="30" t="str"/>
      <x:c r="Z231" s="30" t="str"/>
      <x:c r="AA231" s="30" t="str"/>
      <x:c r="AB231" s="30" t="str"/>
      <x:c r="AC231" s="30" t="str">
        <x:v>kythuatviethan@gmail.com:1</x:v>
      </x:c>
      <x:c r="AD231" s="30" t="str">
        <x:v>U-shaped wool brush；Carbon steel screw belt</x:v>
      </x:c>
      <x:c r="AE231" s="30" t="str">
        <x:v>U-shaped；羊毛刷；carbon steel；screw belt；outer diameter 8mm</x:v>
      </x:c>
      <x:c r="AF231" s="30" t="str">
        <x:v>F638-029-KH#&amp;Bộ bu lông chữ U, 4 đai ốc bằng thép cacbon, có ren, đường kính ngoài 8mm. Mới 100%</x:v>
      </x:c>
      <x:c r="AG231" s="30" t="str">
        <x:v>U-brush；Steel screw belt；Wool cleaning brush；Carbon steel fastener belt；U-shaped cleaning tool</x:v>
      </x:c>
      <x:c r="AH231" s="30" t="str">
        <x:v>Wool；Carbon steel；金属；Fiber；Alloy</x:v>
      </x:c>
      <x:c r="AI231" s="30" t="str">
        <x:v>Home cleaning；Industrial maintenance；Automobile assembly；家具制造；电子生产</x:v>
      </x:c>
      <x:c r="AJ231" s="30" t="str">
        <x:v>羊毛刷</x:v>
      </x:c>
      <x:c r="AK231" s="30" t="str">
        <x:v>expansion-search-wool-brush-page-01</x:v>
      </x:c>
      <x:c r="AL231" s="30" t="str">
        <x:v>UpKuajing customs company contact API</x:v>
      </x:c>
      <x:c r="AM231" s="30" t="str"/>
      <x:c r="AN231" s="30" t="str"/>
      <x:c r="AO231" s="34" t="n">
        <x:v>46220</x:v>
      </x:c>
    </x:row>
    <x:row r="232" ht="44" customHeight="1">
      <x:c r="A232" s="30" t="str">
        <x:v>API联系方式已获取</x:v>
      </x:c>
      <x:c r="B232" s="30" t="str">
        <x:v>常规-全球</x:v>
      </x:c>
      <x:c r="C232" s="30" t="str">
        <x:v>羊毛刷</x:v>
      </x:c>
      <x:c r="D232" s="31" t="str">
        <x:v>461378</x:v>
      </x:c>
      <x:c r="E232" s="30" t="str">
        <x:v>công ty tnhh nhà thép peb</x:v>
      </x:c>
      <x:c r="F232" s="30" t="str">
        <x:v>越南</x:v>
      </x:c>
      <x:c r="G232" s="30" t="str">
        <x:v>cambodia@pebsteel.com</x:v>
      </x:c>
      <x:c r="H232" s="30" t="str">
        <x:f>IF(ISNUMBER(SEARCH(":1",AC232)),"已验证有效",IF(ISNUMBER(SEARCH(":3",AC232)),"验证不确定",IF(ISNUMBER(SEARCH(":0",AC232)),"接口未能检测",IF(ISNUMBER(SEARCH(":2",AC232)),"判定无效",IF(V232&lt;&gt;"","官网已确认-未验证","无邮箱")))))</x:f>
        <x:v>已验证有效</x:v>
      </x:c>
      <x:c r="I232" s="30" t="str">
        <x:v>+84 908 883 531</x:v>
      </x:c>
      <x:c r="J232" s="30" t="str">
        <x:v>http://www.pebsteel.com</x:v>
      </x:c>
      <x:c r="K232" s="35" t="n">
        <x:f>ROUND((IF(H232="已验证有效",40,IF(V232&lt;&gt;"",20,0))+IF(ISNUMBER(SEARCH("状态1",Y232)),25,0)+IF(J232&lt;&gt;"",20,0)+IF(AA232&lt;&gt;"",15,0))/100,2)</x:f>
        <x:v>1</x:v>
      </x:c>
      <x:c r="L232" s="30" t="str">
        <x:v>待联系</x:v>
      </x:c>
      <x:c r="M232" s="30" t="str"/>
      <x:c r="N232" s="30" t="str">
        <x:v>khu công nghiệp đông xuyên, đường 30 tháng 4, p. 10, tp. vũng tàu,bà rịa-vũng tàu</x:v>
      </x:c>
      <x:c r="O232" s="30" t="str"/>
      <x:c r="P232" s="30" t="str">
        <x:v>线圈、板材、检测仪器、烤架、铆钉、玻璃纤维、碳刷、垫圈、热传感器、型钢、电度表、刀具、普通钢型钢、不锈钢、金属丝、夹具、弹簧、处理器、合金钢、温度计</x:v>
      </x:c>
      <x:c r="Q232" s="32" t="n">
        <x:v>2</x:v>
      </x:c>
      <x:c r="R232" s="32" t="n">
        <x:v>3270</x:v>
      </x:c>
      <x:c r="S232" s="33" t="n">
        <x:v>0.0006</x:v>
      </x:c>
      <x:c r="T232" s="34" t="n">
        <x:v>45918.666666666664</x:v>
      </x:c>
      <x:c r="U232" s="30" t="str">
        <x:v>cambodia@pebsteel.com; marketing@pebsteel.com; pebm@pebsteel.com; rinaldi-rusli@pebsteel.com; sales.myanmar@pebsteel.com; thaisales@pebsteel.com</x:v>
      </x:c>
      <x:c r="V232" s="30" t="str"/>
      <x:c r="W232" s="30" t="str">
        <x:v>849088; +84 908 883 531</x:v>
      </x:c>
      <x:c r="X232" s="30" t="str"/>
      <x:c r="Y232" s="30" t="str">
        <x:v>849088:状态2/类型0/WhatsApp2; +84 908 883 531:状态1/类型2/WhatsApp1</x:v>
      </x:c>
      <x:c r="Z232" s="30" t="str">
        <x:v>+84 908 883 531</x:v>
      </x:c>
      <x:c r="AA232" s="30" t="str">
        <x:v>https://www.facebook.com/PEBSteelBuildings.vn; https://www.linkedin.com/company/pebsteel/posts; https://www.youtube.com/PEBSteelBuildingsOfficial</x:v>
      </x:c>
      <x:c r="AB232" s="30" t="str"/>
      <x:c r="AC232" s="30" t="str">
        <x:v>cambodia@pebsteel.com:1; marketing@pebsteel.com:1; pebm@pebsteel.com:1; rinaldi-rusli@pebsteel.com:1; sales.myanmar@pebsteel.com:1; thaisales@pebsteel.com:1</x:v>
      </x:c>
      <x:c r="AD232" s="30" t="str">
        <x:v>Steel wool brush</x:v>
      </x:c>
      <x:c r="AE232" s="30" t="str">
        <x:v>Steel；Galvanized；Steel plant</x:v>
      </x:c>
      <x:c r="AF232" s="30" t="str">
        <x:v>Bu lông bằng thép có ren mạ kẽm nhúng nóng dùng trong nhà thép tiền chế(1 bộ=1 bu lông+1đai ốc+1 vòng đệm), cỡ M24 x 80 (đường kính: 24 mm).Hàng mới 100%</x:v>
      </x:c>
      <x:c r="AG232" s="30" t="str">
        <x:v>Wire brush；Metal brush；Galvanized brush；Steel cleaning brush；Industrial brush</x:v>
      </x:c>
      <x:c r="AH232" s="30" t="str">
        <x:v>Steel；Zinc；Iron ore；Carbon；Alloying elements</x:v>
      </x:c>
      <x:c r="AI232" s="30" t="str">
        <x:v>Steel manufacturing；金属加工；建筑施工；Automotive industry；Shipbuilding</x:v>
      </x:c>
      <x:c r="AJ232" s="30" t="str">
        <x:v>羊毛刷</x:v>
      </x:c>
      <x:c r="AK232" s="30" t="str">
        <x:v>expansion-search-wool-brush-page-01</x:v>
      </x:c>
      <x:c r="AL232" s="30" t="str">
        <x:v>UpKuajing customs company contact API</x:v>
      </x:c>
      <x:c r="AM232" s="30" t="str"/>
      <x:c r="AN232" s="30" t="str"/>
      <x:c r="AO232" s="34" t="n">
        <x:v>46220</x:v>
      </x:c>
    </x:row>
    <x:row r="233" ht="44" customHeight="1">
      <x:c r="A233" s="30" t="str">
        <x:v>API联系方式已获取</x:v>
      </x:c>
      <x:c r="B233" s="30" t="str">
        <x:v>常规-全球</x:v>
      </x:c>
      <x:c r="C233" s="30" t="str">
        <x:v>PVC护角条</x:v>
      </x:c>
      <x:c r="D233" s="31" t="str">
        <x:v>6219972</x:v>
      </x:c>
      <x:c r="E233" s="30" t="str">
        <x:v>diamond engineering pvt ltd.</x:v>
      </x:c>
      <x:c r="F233" s="30" t="str">
        <x:v>印度</x:v>
      </x:c>
      <x:c r="G233" s="30" t="str">
        <x:v>info@decpl.com</x:v>
      </x:c>
      <x:c r="H233" s="30" t="str">
        <x:f>IF(ISNUMBER(SEARCH(":1",AC233)),"已验证有效",IF(ISNUMBER(SEARCH(":3",AC233)),"验证不确定",IF(ISNUMBER(SEARCH(":0",AC233)),"接口未能检测",IF(ISNUMBER(SEARCH(":2",AC233)),"判定无效",IF(V233&lt;&gt;"","官网已确认-未验证","无邮箱")))))</x:f>
        <x:v>已验证有效</x:v>
      </x:c>
      <x:c r="I233" s="30" t="str">
        <x:v>+91 44 2496 0253</x:v>
      </x:c>
      <x:c r="J233" s="30" t="str">
        <x:v>http://www.decpl.com/</x:v>
      </x:c>
      <x:c r="K233" s="35" t="n">
        <x:f>ROUND((IF(H233="已验证有效",40,IF(V233&lt;&gt;"",20,0))+IF(ISNUMBER(SEARCH("状态1",Y233)),25,0)+IF(J233&lt;&gt;"",20,0)+IF(AA233&lt;&gt;"",15,0))/100,2)</x:f>
        <x:v>0.85</x:v>
      </x:c>
      <x:c r="L233" s="30" t="str">
        <x:v>待联系</x:v>
      </x:c>
      <x:c r="M233" s="30" t="str"/>
      <x:c r="N233" s="30" t="str">
        <x:v>rajiv gandhi salai, thanthai periyar nagar, valasaravakkam chennai, tamil nadu, india</x:v>
      </x:c>
      <x:c r="O233" s="30" t="str"/>
      <x:c r="P233" s="30" t="str">
        <x:v>屋顶瓦，膨胀塞，钢套，钢球，套筒，粘土屋顶瓦，膨胀塞，10</x:v>
      </x:c>
      <x:c r="Q233" s="32" t="n">
        <x:v>2</x:v>
      </x:c>
      <x:c r="R233" s="32" t="n">
        <x:v>1210</x:v>
      </x:c>
      <x:c r="S233" s="33" t="n">
        <x:v>0.0017000000000000001</x:v>
      </x:c>
      <x:c r="T233" s="34" t="n">
        <x:v>45804.666666666664</x:v>
      </x:c>
      <x:c r="U233" s="30" t="str">
        <x:v>info@decpl.com</x:v>
      </x:c>
      <x:c r="V233" s="30" t="str"/>
      <x:c r="W233" s="30" t="str">
        <x:v>+91 44 2496 0253</x:v>
      </x:c>
      <x:c r="X233" s="30" t="str"/>
      <x:c r="Y233" s="30" t="str">
        <x:v>+91 44 2496 0253:状态1/类型1/WhatsApp2</x:v>
      </x:c>
      <x:c r="Z233" s="30" t="str"/>
      <x:c r="AA233" s="30" t="str"/>
      <x:c r="AB233" s="30" t="str"/>
      <x:c r="AC233" s="30" t="str">
        <x:v>info@decpl.com:1</x:v>
      </x:c>
      <x:c r="AD233" s="30" t="str"/>
      <x:c r="AE233" s="30" t="str">
        <x:v>PVC护角条；m pvc；corner bead；mesh</x:v>
      </x:c>
      <x:c r="AF233" s="30" t="str">
        <x:v>PVC CORNER BEAD+MESH 10X10-2.5M PVC CORNER BEAD+MESH 10X10-2.5M</x:v>
      </x:c>
      <x:c r="AG233" s="30" t="str"/>
      <x:c r="AH233" s="30" t="str"/>
      <x:c r="AI233" s="30" t="str"/>
      <x:c r="AJ233" s="30" t="str">
        <x:v>PVC护角条</x:v>
      </x:c>
      <x:c r="AK233" s="30" t="str">
        <x:v>expansion-search-pvc-corner-bead-page-01</x:v>
      </x:c>
      <x:c r="AL233" s="30" t="str">
        <x:v>UpKuajing customs company contact API</x:v>
      </x:c>
      <x:c r="AM233" s="30" t="str"/>
      <x:c r="AN233" s="30" t="str"/>
      <x:c r="AO233" s="34" t="n">
        <x:v>46220</x:v>
      </x:c>
    </x:row>
    <x:row r="234" ht="44" customHeight="1">
      <x:c r="A234" s="30" t="str">
        <x:v>API联系方式已获取</x:v>
      </x:c>
      <x:c r="B234" s="30" t="str">
        <x:v>常规-全球</x:v>
      </x:c>
      <x:c r="C234" s="30" t="str">
        <x:v>羊毛刷</x:v>
      </x:c>
      <x:c r="D234" s="31" t="str">
        <x:v>22319751</x:v>
      </x:c>
      <x:c r="E234" s="30" t="str">
        <x:v>DUC GIANG CORPORATION</x:v>
      </x:c>
      <x:c r="F234" s="30" t="str">
        <x:v>越南</x:v>
      </x:c>
      <x:c r="G234" s="30" t="str">
        <x:v>support@mayducgiang.com.vn</x:v>
      </x:c>
      <x:c r="H234" s="30" t="str">
        <x:f>IF(ISNUMBER(SEARCH(":1",AC234)),"已验证有效",IF(ISNUMBER(SEARCH(":3",AC234)),"验证不确定",IF(ISNUMBER(SEARCH(":0",AC234)),"接口未能检测",IF(ISNUMBER(SEARCH(":2",AC234)),"判定无效",IF(V234&lt;&gt;"","官网已确认-未验证","无邮箱")))))</x:f>
        <x:v>接口未能检测</x:v>
      </x:c>
      <x:c r="I234" s="30" t="str">
        <x:v>+84 24 3827 1344</x:v>
      </x:c>
      <x:c r="J234" s="30" t="str">
        <x:v>www.mayducgiang.com.vn</x:v>
      </x:c>
      <x:c r="K234" s="35" t="n">
        <x:f>ROUND((IF(H234="已验证有效",40,IF(V234&lt;&gt;"",20,0))+IF(ISNUMBER(SEARCH("状态1",Y234)),25,0)+IF(J234&lt;&gt;"",20,0)+IF(AA234&lt;&gt;"",15,0))/100,2)</x:f>
        <x:v>0.45</x:v>
      </x:c>
      <x:c r="L234" s="30" t="str">
        <x:v>待联系</x:v>
      </x:c>
      <x:c r="M234" s="30" t="str"/>
      <x:c r="N234" s="30" t="str">
        <x:v>59 PHO DUC GIANG, Q.LONG BIEN</x:v>
      </x:c>
      <x:c r="O234" s="30" t="str"/>
      <x:c r="P234" s="30" t="str">
        <x:v>裁剪和缝制服装</x:v>
      </x:c>
      <x:c r="Q234" s="32" t="n">
        <x:v>2</x:v>
      </x:c>
      <x:c r="R234" s="32" t="n">
        <x:v>24000</x:v>
      </x:c>
      <x:c r="S234" s="33" t="n">
        <x:v>0.0001</x:v>
      </x:c>
      <x:c r="T234" s="34" t="n">
        <x:v>46100.666666666664</x:v>
      </x:c>
      <x:c r="U234" s="30" t="str">
        <x:v>support@mayducgiang.com.vn</x:v>
      </x:c>
      <x:c r="V234" s="30" t="str"/>
      <x:c r="W234" s="30" t="str">
        <x:v>+84 24 3827 1344</x:v>
      </x:c>
      <x:c r="X234" s="30" t="str"/>
      <x:c r="Y234" s="30" t="str">
        <x:v>+84 24 3827 1344:状态1/类型1/WhatsApp2</x:v>
      </x:c>
      <x:c r="Z234" s="30" t="str"/>
      <x:c r="AA234" s="30" t="str"/>
      <x:c r="AB234" s="30" t="str"/>
      <x:c r="AC234" s="30" t="str">
        <x:v>support@mayducgiang.com.vn:0</x:v>
      </x:c>
      <x:c r="AD234" s="30" t="str"/>
      <x:c r="AE234" s="30" t="str"/>
      <x:c r="AF234" s="30" t="str">
        <x:v>NL2A#&amp;amp; woven Fabrics from fiber wool brush skills 100% wool W158cm 303g/m2, 4127.39 m, 100% brand new</x:v>
      </x:c>
      <x:c r="AG234" s="30" t="str"/>
      <x:c r="AH234" s="30" t="str"/>
      <x:c r="AI234" s="30" t="str"/>
      <x:c r="AJ234" s="30" t="str">
        <x:v>羊毛刷</x:v>
      </x:c>
      <x:c r="AK234" s="30" t="str">
        <x:v>expansion-search-wool-brush-page-01</x:v>
      </x:c>
      <x:c r="AL234" s="30" t="str">
        <x:v>UpKuajing customs company contact API</x:v>
      </x:c>
      <x:c r="AM234" s="30" t="str"/>
      <x:c r="AN234" s="30" t="str"/>
      <x:c r="AO234" s="34" t="n">
        <x:v>46220</x:v>
      </x:c>
    </x:row>
    <x:row r="235" ht="44" customHeight="1">
      <x:c r="A235" s="30" t="str">
        <x:v>API联系方式已获取</x:v>
      </x:c>
      <x:c r="B235" s="30" t="str">
        <x:v>常规-全球</x:v>
      </x:c>
      <x:c r="C235" s="30" t="str">
        <x:v>PVC护角条</x:v>
      </x:c>
      <x:c r="D235" s="31" t="str">
        <x:v>28415649</x:v>
      </x:c>
      <x:c r="E235" s="30" t="str">
        <x:v>FORESTAL LAGUNERA SA DE CV</x:v>
      </x:c>
      <x:c r="F235" s="30" t="str">
        <x:v>墨西哥</x:v>
      </x:c>
      <x:c r="G235" s="30" t="str">
        <x:v>ventas@grupomadeira.com</x:v>
      </x:c>
      <x:c r="H235" s="30" t="str">
        <x:f>IF(ISNUMBER(SEARCH(":1",AC235)),"已验证有效",IF(ISNUMBER(SEARCH(":3",AC235)),"验证不确定",IF(ISNUMBER(SEARCH(":0",AC235)),"接口未能检测",IF(ISNUMBER(SEARCH(":2",AC235)),"判定无效",IF(V235&lt;&gt;"","官网已确认-未验证","无邮箱")))))</x:f>
        <x:v>接口未能检测</x:v>
      </x:c>
      <x:c r="I235" s="30" t="str">
        <x:v>+52 871 793 8017</x:v>
      </x:c>
      <x:c r="J235" s="30" t="str">
        <x:v>www.grupomadeira.com</x:v>
      </x:c>
      <x:c r="K235" s="35" t="n">
        <x:f>ROUND((IF(H235="已验证有效",40,IF(V235&lt;&gt;"",20,0))+IF(ISNUMBER(SEARCH("状态1",Y235)),25,0)+IF(J235&lt;&gt;"",20,0)+IF(AA235&lt;&gt;"",15,0))/100,2)</x:f>
        <x:v>0.6</x:v>
      </x:c>
      <x:c r="L235" s="30" t="str">
        <x:v>待联系</x:v>
      </x:c>
      <x:c r="M235" s="30" t="str"/>
      <x:c r="N235" s="30" t="str">
        <x:v>DIAGONAL REFORMA NO. 2583 ORIENTE, MOCTEZUMA</x:v>
      </x:c>
      <x:c r="O235" s="30" t="str"/>
      <x:c r="P235" s="30" t="str">
        <x:v>暂无经营范围信息</x:v>
      </x:c>
      <x:c r="Q235" s="32" t="n">
        <x:v>2</x:v>
      </x:c>
      <x:c r="R235" s="32" t="n">
        <x:v>491</x:v>
      </x:c>
      <x:c r="S235" s="33" t="n">
        <x:v>0.0040999999999999995</x:v>
      </x:c>
      <x:c r="T235" s="34" t="n">
        <x:v>45817.666666666664</x:v>
      </x:c>
      <x:c r="U235" s="30" t="str">
        <x:v>ventas@grupomadeira.com</x:v>
      </x:c>
      <x:c r="V235" s="30" t="str"/>
      <x:c r="W235" s="30" t="str">
        <x:v>+52 871 793 8017; 6188337555; 8717133501; 8717502320</x:v>
      </x:c>
      <x:c r="X235" s="30" t="str"/>
      <x:c r="Y235" s="30" t="str">
        <x:v>+52 871 793 8017:状态1/类型3/WhatsApp2; 6188337555:状态2/类型0/WhatsApp2; 8717133501:状态2/类型0/WhatsApp2; 8717502320:状态2/类型0/WhatsApp2</x:v>
      </x:c>
      <x:c r="Z235" s="30" t="str"/>
      <x:c r="AA235" s="30" t="str">
        <x:v>https://www.facebook.com/Grupo-Madeira-101630524730753/?__tn__=%2Cd%2CP-R&amp;eid=ARAAyUT2I14SdrK2qqGaSeDQKvCNklSAV6kkNCeK7WeMFJJXxc5ukfwQ1vcjq9GFTirEYrXZbd173Trr; https://www.facebook.com/grupomadeiramx; https://www.instagram.com/grupo_madeira; https://www.youtube.com/channel/UCvvX2N1woEyqFVIqYE2oOAg?view_as=subscriber</x:v>
      </x:c>
      <x:c r="AB235" s="30" t="str"/>
      <x:c r="AC235" s="30" t="str">
        <x:v>ventas@grupomadeira.com:0</x:v>
      </x:c>
      <x:c r="AD235" s="30" t="str">
        <x:v>PVC护角条</x:v>
      </x:c>
      <x:c r="AE235" s="30" t="str">
        <x:v>Corner Protector；PVC</x:v>
      </x:c>
      <x:c r="AF235" s="30" t="str">
        <x:v>TAPACANTO DE PVC</x:v>
      </x:c>
      <x:c r="AG235" s="30" t="str">
        <x:v>PVC Edge Protector；PVC护角条；PVC Corner Trim；PVC Edge Trim；PVC Corner Bumper</x:v>
      </x:c>
      <x:c r="AH235" s="30" t="str">
        <x:v>Polyvinyl Chloride Resin；增塑剂；Stabilizer；Lubricant；Filler</x:v>
      </x:c>
      <x:c r="AI235" s="30" t="str">
        <x:v>Furniture；Cabinet；Door；Window；Wall</x:v>
      </x:c>
      <x:c r="AJ235" s="30" t="str">
        <x:v>PVC护角条</x:v>
      </x:c>
      <x:c r="AK235" s="30" t="str">
        <x:v>expansion-search-pvc-corner-guard-page-01</x:v>
      </x:c>
      <x:c r="AL235" s="30" t="str">
        <x:v>UpKuajing customs company contact API</x:v>
      </x:c>
      <x:c r="AM235" s="30" t="str"/>
      <x:c r="AN235" s="30" t="str"/>
      <x:c r="AO235" s="34" t="n">
        <x:v>46220</x:v>
      </x:c>
    </x:row>
    <x:row r="236" ht="44" customHeight="1">
      <x:c r="A236" s="30" t="str">
        <x:v>API联系方式已获取</x:v>
      </x:c>
      <x:c r="B236" s="30" t="str">
        <x:v>常规-全球</x:v>
      </x:c>
      <x:c r="C236" s="30" t="str">
        <x:v>羊毛刷</x:v>
      </x:c>
      <x:c r="D236" s="31" t="str">
        <x:v>91806</x:v>
      </x:c>
      <x:c r="E236" s="30" t="str">
        <x:v>global polybags industries pvt ltd.</x:v>
      </x:c>
      <x:c r="F236" s="30" t="str">
        <x:v>印度</x:v>
      </x:c>
      <x:c r="G236" s="30" t="str">
        <x:v>global@globalpolybags.com</x:v>
      </x:c>
      <x:c r="H236" s="30" t="str">
        <x:f>IF(ISNUMBER(SEARCH(":1",AC236)),"已验证有效",IF(ISNUMBER(SEARCH(":3",AC236)),"验证不确定",IF(ISNUMBER(SEARCH(":0",AC236)),"接口未能检测",IF(ISNUMBER(SEARCH(":2",AC236)),"判定无效",IF(V236&lt;&gt;"","官网已确认-未验证","无邮箱")))))</x:f>
        <x:v>已验证有效</x:v>
      </x:c>
      <x:c r="I236" s="30" t="str">
        <x:v>+91 4562 247 120</x:v>
      </x:c>
      <x:c r="J236" s="30" t="str">
        <x:v>http://www.globalpolybags.com</x:v>
      </x:c>
      <x:c r="K236" s="35" t="n">
        <x:f>ROUND((IF(H236="已验证有效",40,IF(V236&lt;&gt;"",20,0))+IF(ISNUMBER(SEARCH("状态1",Y236)),25,0)+IF(J236&lt;&gt;"",20,0)+IF(AA236&lt;&gt;"",15,0))/100,2)</x:f>
        <x:v>0.85</x:v>
      </x:c>
      <x:c r="L236" s="30" t="str">
        <x:v>待联系</x:v>
      </x:c>
      <x:c r="M236" s="30" t="str"/>
      <x:c r="N236" s="30" t="str">
        <x:v>500-a, perali road, virudhunagar - 626 001, tamil nadu, india</x:v>
      </x:c>
      <x:c r="O236" s="30" t="str"/>
      <x:c r="P236" s="30" t="str">
        <x:v>线轴，超级螺栓，网纹辊，润滑油脂，战神，电缆连接，变频器，皮带，丙烯共聚物，压力计，塔伦，5，低密度聚乙烯颗粒，成型机，机，气缸，带，纸袋机，卡</x:v>
      </x:c>
      <x:c r="Q236" s="32" t="n">
        <x:v>2</x:v>
      </x:c>
      <x:c r="R236" s="32" t="n">
        <x:v>4839</x:v>
      </x:c>
      <x:c r="S236" s="33" t="n">
        <x:v>0.0004</x:v>
      </x:c>
      <x:c r="T236" s="34" t="n">
        <x:v>45996.666666666664</x:v>
      </x:c>
      <x:c r="U236" s="30" t="str">
        <x:v>colorplas@globalpolybags.com; global@globalpolybags.com</x:v>
      </x:c>
      <x:c r="V236" s="30" t="str"/>
      <x:c r="W236" s="30" t="str">
        <x:v>+91 4562 247 120</x:v>
      </x:c>
      <x:c r="X236" s="30" t="str"/>
      <x:c r="Y236" s="30" t="str">
        <x:v>+91 4562 247 120:状态1/类型1/WhatsApp2</x:v>
      </x:c>
      <x:c r="Z236" s="30" t="str"/>
      <x:c r="AA236" s="30" t="str"/>
      <x:c r="AB236" s="30" t="str"/>
      <x:c r="AC236" s="30" t="str">
        <x:v>colorplas@globalpolybags.com:0; global@globalpolybags.com:1</x:v>
      </x:c>
      <x:c r="AD236" s="30" t="str"/>
      <x:c r="AE236" s="30" t="str">
        <x:v>bronze brush；cleaning wool</x:v>
      </x:c>
      <x:c r="AF236" s="30" t="str">
        <x:v>26200740 CLEANING WOOL 16080012 BRONZE BRUSH</x:v>
      </x:c>
      <x:c r="AG236" s="30" t="str"/>
      <x:c r="AH236" s="30" t="str"/>
      <x:c r="AI236" s="30" t="str"/>
      <x:c r="AJ236" s="30" t="str">
        <x:v>羊毛刷</x:v>
      </x:c>
      <x:c r="AK236" s="30" t="str">
        <x:v>expansion-search-wool-brush-page-01</x:v>
      </x:c>
      <x:c r="AL236" s="30" t="str">
        <x:v>UpKuajing customs company contact API</x:v>
      </x:c>
      <x:c r="AM236" s="30" t="str"/>
      <x:c r="AN236" s="30" t="str"/>
      <x:c r="AO236" s="34" t="n">
        <x:v>46220</x:v>
      </x:c>
    </x:row>
    <x:row r="237" ht="44" customHeight="1">
      <x:c r="A237" s="30" t="str">
        <x:v>API联系方式已获取</x:v>
      </x:c>
      <x:c r="B237" s="30" t="str">
        <x:v>常规-全球</x:v>
      </x:c>
      <x:c r="C237" s="30" t="str">
        <x:v>PVC护角条</x:v>
      </x:c>
      <x:c r="D237" s="31" t="str">
        <x:v>66884</x:v>
      </x:c>
      <x:c r="E237" s="30" t="str">
        <x:v>global vinyl pvt ltd.</x:v>
      </x:c>
      <x:c r="F237" s="30" t="str">
        <x:v>斯里兰卡</x:v>
      </x:c>
      <x:c r="G237" s="30" t="str">
        <x:v>info@globalvinyl.lk</x:v>
      </x:c>
      <x:c r="H237" s="30" t="str">
        <x:f>IF(ISNUMBER(SEARCH(":1",AC237)),"已验证有效",IF(ISNUMBER(SEARCH(":3",AC237)),"验证不确定",IF(ISNUMBER(SEARCH(":0",AC237)),"接口未能检测",IF(ISNUMBER(SEARCH(":2",AC237)),"判定无效",IF(V237&lt;&gt;"","官网已确认-未验证","无邮箱")))))</x:f>
        <x:v>已验证有效</x:v>
      </x:c>
      <x:c r="I237" s="30" t="str"/>
      <x:c r="J237" s="30" t="str">
        <x:v>http://www.globalvinyl.lk/</x:v>
      </x:c>
      <x:c r="K237" s="35" t="n">
        <x:f>ROUND((IF(H237="已验证有效",40,IF(V237&lt;&gt;"",20,0))+IF(ISNUMBER(SEARCH("状态1",Y237)),25,0)+IF(J237&lt;&gt;"",20,0)+IF(AA237&lt;&gt;"",15,0))/100,2)</x:f>
        <x:v>0.6</x:v>
      </x:c>
      <x:c r="L237" s="30" t="str">
        <x:v>待联系</x:v>
      </x:c>
      <x:c r="M237" s="30" t="str"/>
      <x:c r="N237" s="30" t="str">
        <x:v>208 sea street,colombo 11 sri lanka</x:v>
      </x:c>
      <x:c r="O237" s="30" t="str"/>
      <x:c r="P237" s="30" t="str">
        <x:v>卷，蓝色，卷轴，黄色，颜料，裸泵，15，片材，罩，80，卷，稳定剂，人造织物，发泡剂，聚氯乙烯稳定剂</x:v>
      </x:c>
      <x:c r="Q237" s="32" t="n">
        <x:v>2</x:v>
      </x:c>
      <x:c r="R237" s="32" t="n">
        <x:v>2065</x:v>
      </x:c>
      <x:c r="S237" s="33" t="n">
        <x:v>0.001</x:v>
      </x:c>
      <x:c r="T237" s="34" t="n">
        <x:v>45720.666666666664</x:v>
      </x:c>
      <x:c r="U237" s="30" t="str">
        <x:v>info@globalvinyl.lk</x:v>
      </x:c>
      <x:c r="V237" s="30" t="str"/>
      <x:c r="W237" s="30" t="str"/>
      <x:c r="X237" s="30" t="str"/>
      <x:c r="Y237" s="30" t="str"/>
      <x:c r="Z237" s="30" t="str"/>
      <x:c r="AA237" s="30" t="str"/>
      <x:c r="AB237" s="30" t="str"/>
      <x:c r="AC237" s="30" t="str">
        <x:v>info@globalvinyl.lk:1</x:v>
      </x:c>
      <x:c r="AD237" s="30" t="str">
        <x:v>PVC护角条；PVC Connection Closing Strip</x:v>
      </x:c>
      <x:c r="AE237" s="30" t="str">
        <x:v>PVC；Corner Protector；Connection Closing Strip</x:v>
      </x:c>
      <x:c r="AF237" s="30" t="str">
        <x:v>3006 MTRS PVC CORNER PROTECTOR 500 MTRS PVC CONNECTION CLOSING STRIP</x:v>
      </x:c>
      <x:c r="AG237" s="30" t="str">
        <x:v>PVC Edge Protector；PVC Joint Strip；PVC护角条；PVC Connector Strip；PVC Closing Edge</x:v>
      </x:c>
      <x:c r="AH237" s="30" t="str">
        <x:v>Polyvinyl Chloride Resin；增塑剂；Stabilizer；Lubricant；Filler</x:v>
      </x:c>
      <x:c r="AI237" s="30" t="str">
        <x:v>Furniture；建筑施工；Electronics；Automotive；包装</x:v>
      </x:c>
      <x:c r="AJ237" s="30" t="str">
        <x:v>PVC护角条</x:v>
      </x:c>
      <x:c r="AK237" s="30" t="str">
        <x:v>expansion-search-pvc-corner-guard-page-01</x:v>
      </x:c>
      <x:c r="AL237" s="30" t="str">
        <x:v>UpKuajing customs company contact API</x:v>
      </x:c>
      <x:c r="AM237" s="30" t="str"/>
      <x:c r="AN237" s="30" t="str"/>
      <x:c r="AO237" s="34" t="n">
        <x:v>46220</x:v>
      </x:c>
    </x:row>
    <x:row r="238" ht="44" customHeight="1">
      <x:c r="A238" s="30" t="str">
        <x:v>API联系方式已获取</x:v>
      </x:c>
      <x:c r="B238" s="30" t="str">
        <x:v>常规-全球</x:v>
      </x:c>
      <x:c r="C238" s="30" t="str">
        <x:v>刷子</x:v>
      </x:c>
      <x:c r="D238" s="31" t="str">
        <x:v>20443723</x:v>
      </x:c>
      <x:c r="E238" s="30" t="str">
        <x:v>HYOSUNG TNS INC</x:v>
      </x:c>
      <x:c r="F238" s="30" t="str">
        <x:v>韩国</x:v>
      </x:c>
      <x:c r="G238" s="30" t="str">
        <x:v>ibi@ibi.net</x:v>
      </x:c>
      <x:c r="H238" s="30" t="str">
        <x:f>IF(ISNUMBER(SEARCH(":1",AC238)),"已验证有效",IF(ISNUMBER(SEARCH(":3",AC238)),"验证不确定",IF(ISNUMBER(SEARCH(":0",AC238)),"接口未能检测",IF(ISNUMBER(SEARCH(":2",AC238)),"判定无效",IF(V238&lt;&gt;"","官网已确认-未验证","无邮箱")))))</x:f>
        <x:v>已验证有效</x:v>
      </x:c>
      <x:c r="I238" s="30" t="str">
        <x:v>+82 2-6181-2114</x:v>
      </x:c>
      <x:c r="J238" s="30" t="str">
        <x:v>www.hyosung-tns.co.kr</x:v>
      </x:c>
      <x:c r="K238" s="35" t="n">
        <x:f>ROUND((IF(H238="已验证有效",40,IF(V238&lt;&gt;"",20,0))+IF(ISNUMBER(SEARCH("状态1",Y238)),25,0)+IF(J238&lt;&gt;"",20,0)+IF(AA238&lt;&gt;"",15,0))/100,2)</x:f>
        <x:v>1</x:v>
      </x:c>
      <x:c r="L238" s="30" t="str">
        <x:v>待联系</x:v>
      </x:c>
      <x:c r="M238" s="30" t="str"/>
      <x:c r="N238" s="30" t="str">
        <x:v>GWANGPYEONG-RO 281 , GANGNAM-GU</x:v>
      </x:c>
      <x:c r="O238" s="30" t="str"/>
      <x:c r="P238" s="30" t="str">
        <x:v>自动柜员机和其他现金处理设备（各种类型的自动柜员机，包括独立式、台式、驾车式和穿墙式自动柜员机）</x:v>
      </x:c>
      <x:c r="Q238" s="32" t="n">
        <x:v>2</x:v>
      </x:c>
      <x:c r="R238" s="32" t="n">
        <x:v>671</x:v>
      </x:c>
      <x:c r="S238" s="33" t="n">
        <x:v>0.003</x:v>
      </x:c>
      <x:c r="T238" s="34" t="n">
        <x:v>45679.666666666664</x:v>
      </x:c>
      <x:c r="U238" s="30" t="str">
        <x:v>ibi@ibi.net; jwkim@ibi.net; reportabuse@ibi.net</x:v>
      </x:c>
      <x:c r="V238" s="30" t="str"/>
      <x:c r="W238" s="30" t="str">
        <x:v>+82 2-6181-2114</x:v>
      </x:c>
      <x:c r="X238" s="30" t="str"/>
      <x:c r="Y238" s="30" t="str">
        <x:v>+82 2-6181-2114:状态1/类型1/WhatsApp2</x:v>
      </x:c>
      <x:c r="Z238" s="30" t="str"/>
      <x:c r="AA238" s="30" t="str">
        <x:v>https://www.linkedin.com/company/hyosung-tns; https://www.youtube.com/channel/UCo3bEHJKigql4quL_pAB6sA</x:v>
      </x:c>
      <x:c r="AB238" s="30" t="str"/>
      <x:c r="AC238" s="30" t="str">
        <x:v>ibi@ibi.net:1; jwkim@ibi.net:1; reportabuse@ibi.net:1</x:v>
      </x:c>
      <x:c r="AD238" s="30" t="str"/>
      <x:c r="AE238" s="30" t="str"/>
      <x:c r="AF238" s="30" t="str">
        <x:v>Anti-static strip (brush type), size 120 x 10 x 18mm BRUSH:ANTISTATIC:CDU-M 45500201, 100% new, exported from TK 106904072441/A42#&amp;CN</x:v>
      </x:c>
      <x:c r="AG238" s="30" t="str"/>
      <x:c r="AH238" s="30" t="str"/>
      <x:c r="AI238" s="30" t="str"/>
      <x:c r="AJ238" s="30" t="str">
        <x:v>刷子</x:v>
      </x:c>
      <x:c r="AK238" s="30" t="str">
        <x:v>expansion-search-brush-page-07</x:v>
      </x:c>
      <x:c r="AL238" s="30" t="str">
        <x:v>UpKuajing customs company contact API</x:v>
      </x:c>
      <x:c r="AM238" s="30" t="str"/>
      <x:c r="AN238" s="30" t="str"/>
      <x:c r="AO238" s="34" t="n">
        <x:v>46220</x:v>
      </x:c>
    </x:row>
    <x:row r="239" ht="44" customHeight="1">
      <x:c r="A239" s="30" t="str">
        <x:v>API联系方式已获取</x:v>
      </x:c>
      <x:c r="B239" s="30" t="str">
        <x:v>常规-全球</x:v>
      </x:c>
      <x:c r="C239" s="30" t="str">
        <x:v>PVC护角条</x:v>
      </x:c>
      <x:c r="D239" s="31" t="str">
        <x:v>19706855</x:v>
      </x:c>
      <x:c r="E239" s="30" t="str">
        <x:v>master products</x:v>
      </x:c>
      <x:c r="F239" s="30" t="str">
        <x:v>哥伦比亚</x:v>
      </x:c>
      <x:c r="G239" s="30" t="str">
        <x:v>jwalters@masterproducts.com</x:v>
      </x:c>
      <x:c r="H239" s="30" t="str">
        <x:f>IF(ISNUMBER(SEARCH(":1",AC239)),"已验证有效",IF(ISNUMBER(SEARCH(":3",AC239)),"验证不确定",IF(ISNUMBER(SEARCH(":0",AC239)),"接口未能检测",IF(ISNUMBER(SEARCH(":2",AC239)),"判定无效",IF(V239&lt;&gt;"","官网已确认-未验证","无邮箱")))))</x:f>
        <x:v>已验证有效</x:v>
      </x:c>
      <x:c r="I239" s="30" t="str">
        <x:v>08458382325</x:v>
      </x:c>
      <x:c r="J239" s="30" t="str">
        <x:v>http://www.masterproducts.co.uk</x:v>
      </x:c>
      <x:c r="K239" s="35" t="n">
        <x:f>ROUND((IF(H239="已验证有效",40,IF(V239&lt;&gt;"",20,0))+IF(ISNUMBER(SEARCH("状态1",Y239)),25,0)+IF(J239&lt;&gt;"",20,0)+IF(AA239&lt;&gt;"",15,0))/100,2)</x:f>
        <x:v>0.6</x:v>
      </x:c>
      <x:c r="L239" s="30" t="str">
        <x:v>待联系</x:v>
      </x:c>
      <x:c r="M239" s="30" t="str"/>
      <x:c r="N239" s="30" t="str">
        <x:v>51 cutlers roadsaltcoats industrial estatesouth woodham ferrersessexcm3 5wa</x:v>
      </x:c>
      <x:c r="O239" s="30" t="str"/>
      <x:c r="P239" s="30" t="str">
        <x:v>波多黎各，黑色，锥体，麻袋和袋子，派对，甲基羟乙基纤维素，90，44，丙烯酸聚合物，聚氯乙烯角珠，白色，多异氰酸酯，啤酒，礁石，牛皮纸袋</x:v>
      </x:c>
      <x:c r="Q239" s="32" t="n">
        <x:v>2</x:v>
      </x:c>
      <x:c r="R239" s="32" t="n">
        <x:v>2425</x:v>
      </x:c>
      <x:c r="S239" s="33" t="n">
        <x:v>0.0008</x:v>
      </x:c>
      <x:c r="T239" s="34" t="n">
        <x:v>45647.666666666664</x:v>
      </x:c>
      <x:c r="U239" s="30" t="str">
        <x:v>info@masterproducts.co; jwalters@masterproducts.com</x:v>
      </x:c>
      <x:c r="V239" s="30" t="str"/>
      <x:c r="W239" s="30" t="str">
        <x:v>08458382325</x:v>
      </x:c>
      <x:c r="X239" s="30" t="str"/>
      <x:c r="Y239" s="30" t="str">
        <x:v>08458382325:状态2/类型0/WhatsApp0</x:v>
      </x:c>
      <x:c r="Z239" s="30" t="str"/>
      <x:c r="AA239" s="30" t="str"/>
      <x:c r="AB239" s="30" t="str"/>
      <x:c r="AC239" s="30" t="str">
        <x:v>info@masterproducts.co:0; jwalters@masterproducts.com:1</x:v>
      </x:c>
      <x:c r="AD239" s="30" t="str"/>
      <x:c r="AE239" s="30" t="str">
        <x:v>PVC护角条</x:v>
      </x:c>
      <x:c r="AF239" s="30" t="str">
        <x:v>PVC CORNER BEADS</x:v>
      </x:c>
      <x:c r="AG239" s="30" t="str"/>
      <x:c r="AH239" s="30" t="str"/>
      <x:c r="AI239" s="30" t="str"/>
      <x:c r="AJ239" s="30" t="str">
        <x:v>PVC护角条</x:v>
      </x:c>
      <x:c r="AK239" s="30" t="str">
        <x:v>expansion-search-pvc-corner-bead-page-01</x:v>
      </x:c>
      <x:c r="AL239" s="30" t="str">
        <x:v>UpKuajing customs company contact API</x:v>
      </x:c>
      <x:c r="AM239" s="30" t="str"/>
      <x:c r="AN239" s="30" t="str"/>
      <x:c r="AO239" s="34" t="n">
        <x:v>46220</x:v>
      </x:c>
    </x:row>
    <x:row r="240" ht="44" customHeight="1">
      <x:c r="A240" s="30" t="str">
        <x:v>API联系方式已获取</x:v>
      </x:c>
      <x:c r="B240" s="30" t="str">
        <x:v>常规-全球</x:v>
      </x:c>
      <x:c r="C240" s="30" t="str">
        <x:v>胶带</x:v>
      </x:c>
      <x:c r="D240" s="31" t="str">
        <x:v>20432849</x:v>
      </x:c>
      <x:c r="E240" s="30" t="str">
        <x:v>MICRONTECH ENGINEERS PRIVATE LIMITED</x:v>
      </x:c>
      <x:c r="F240" s="30" t="str">
        <x:v>印度</x:v>
      </x:c>
      <x:c r="G240" s="30" t="str">
        <x:v>operations@microntechgroup.com</x:v>
      </x:c>
      <x:c r="H240" s="30" t="str">
        <x:f>IF(ISNUMBER(SEARCH(":1",AC240)),"已验证有效",IF(ISNUMBER(SEARCH(":3",AC240)),"验证不确定",IF(ISNUMBER(SEARCH(":0",AC240)),"接口未能检测",IF(ISNUMBER(SEARCH(":2",AC240)),"判定无效",IF(V240&lt;&gt;"","官网已确认-未验证","无邮箱")))))</x:f>
        <x:v>已验证有效</x:v>
      </x:c>
      <x:c r="I240" s="30" t="str">
        <x:v>+91 120 433 1362</x:v>
      </x:c>
      <x:c r="J240" s="30" t="str">
        <x:v>www.microntechgroup.com</x:v>
      </x:c>
      <x:c r="K240" s="35" t="n">
        <x:f>ROUND((IF(H240="已验证有效",40,IF(V240&lt;&gt;"",20,0))+IF(ISNUMBER(SEARCH("状态1",Y240)),25,0)+IF(J240&lt;&gt;"",20,0)+IF(AA240&lt;&gt;"",15,0))/100,2)</x:f>
        <x:v>1</x:v>
      </x:c>
      <x:c r="L240" s="30" t="str">
        <x:v>待联系</x:v>
      </x:c>
      <x:c r="M240" s="30" t="str"/>
      <x:c r="N240" s="30" t="str">
        <x:v>NO. R-22, FIRST FLOOR, RITA BLOCK , SHAKAR PUR</x:v>
      </x:c>
      <x:c r="O240" s="30" t="str"/>
      <x:c r="P240" s="30" t="str">
        <x:v>暂无经营范围信息</x:v>
      </x:c>
      <x:c r="Q240" s="32" t="n">
        <x:v>2</x:v>
      </x:c>
      <x:c r="R240" s="32" t="n">
        <x:v>7727</x:v>
      </x:c>
      <x:c r="S240" s="33" t="n">
        <x:v>0.0003</x:v>
      </x:c>
      <x:c r="T240" s="34" t="n">
        <x:v>45753.666666666664</x:v>
      </x:c>
      <x:c r="U240" s="30" t="str">
        <x:v>es@microntechgroup.com; operations@microntechgroup.com; sales@microntechgroup.com</x:v>
      </x:c>
      <x:c r="V240" s="30" t="str"/>
      <x:c r="W240" s="30" t="str">
        <x:v>+91 120 433 1362; +91 98990 42733</x:v>
      </x:c>
      <x:c r="X240" s="30" t="str"/>
      <x:c r="Y240" s="30" t="str">
        <x:v>+91 120 433 1362:状态1/类型1/WhatsApp2; +91 98990 42733:状态1/类型2/WhatsApp1</x:v>
      </x:c>
      <x:c r="Z240" s="30" t="str">
        <x:v>+91 98990 42733</x:v>
      </x:c>
      <x:c r="AA240" s="30" t="str">
        <x:v>https://www.facebook.com/microntechgroup; https://www.linkedin.com/company/microntech-engineers-pvt--ltd-; https://www.youtube.com/channel/UCmyq1XZtxxwcAUCB-0jCX1w</x:v>
      </x:c>
      <x:c r="AB240" s="30" t="str"/>
      <x:c r="AC240" s="30" t="str">
        <x:v>es@microntechgroup.com:0; operations@microntechgroup.com:1; sales@microntechgroup.com:1</x:v>
      </x:c>
      <x:c r="AD240" s="30" t="str">
        <x:v>Double-sided tape</x:v>
      </x:c>
      <x:c r="AE240" s="30" t="str">
        <x:v>Double-sided tape</x:v>
      </x:c>
      <x:c r="AF240" s="30" t="str">
        <x:v>DOUBLE-SIDED TAPE DOUBLE-SIDED TAPE</x:v>
      </x:c>
      <x:c r="AG240" s="30" t="str">
        <x:v>Two-sided tape；Double-faced tape；Dual-sided tape；Double-stick tape；Double-coated tape</x:v>
      </x:c>
      <x:c r="AH240" s="30" t="str">
        <x:v>胶粘剂；Plastic film；纸；Fabric；Resin</x:v>
      </x:c>
      <x:c r="AI240" s="30" t="str">
        <x:v>包装；手工艺；Office supplies；Automotive；Electronics</x:v>
      </x:c>
      <x:c r="AJ240" s="30" t="str">
        <x:v>胶带</x:v>
      </x:c>
      <x:c r="AK240" s="30" t="str">
        <x:v>expansion-search-tape-page-02</x:v>
      </x:c>
      <x:c r="AL240" s="30" t="str">
        <x:v>UpKuajing customs company contact API</x:v>
      </x:c>
      <x:c r="AM240" s="30" t="str"/>
      <x:c r="AN240" s="30" t="str"/>
      <x:c r="AO240" s="34" t="n">
        <x:v>46220</x:v>
      </x:c>
    </x:row>
    <x:row r="241" ht="44" customHeight="1">
      <x:c r="A241" s="30" t="str">
        <x:v>API联系方式已获取</x:v>
      </x:c>
      <x:c r="B241" s="30" t="str">
        <x:v>常规-全球</x:v>
      </x:c>
      <x:c r="C241" s="30" t="str">
        <x:v>油漆刷</x:v>
      </x:c>
      <x:c r="D241" s="31" t="str">
        <x:v>20239430</x:v>
      </x:c>
      <x:c r="E241" s="30" t="str">
        <x:v>NILFISK INDIA PRIVATE LIMITED</x:v>
      </x:c>
      <x:c r="F241" s="30" t="str">
        <x:v>印度</x:v>
      </x:c>
      <x:c r="G241" s="30" t="str">
        <x:v>finance.in@nilfisk.com</x:v>
      </x:c>
      <x:c r="H241" s="30" t="str">
        <x:f>IF(ISNUMBER(SEARCH(":1",AC241)),"已验证有效",IF(ISNUMBER(SEARCH(":3",AC241)),"验证不确定",IF(ISNUMBER(SEARCH(":0",AC241)),"接口未能检测",IF(ISNUMBER(SEARCH(":2",AC241)),"判定无效",IF(V241&lt;&gt;"","官网已确认-未验证","无邮箱")))))</x:f>
        <x:v>已验证有效</x:v>
      </x:c>
      <x:c r="I241" s="30" t="str"/>
      <x:c r="J241" s="30" t="str">
        <x:v>nilfisk.com</x:v>
      </x:c>
      <x:c r="K241" s="35" t="n">
        <x:f>ROUND((IF(H241="已验证有效",40,IF(V241&lt;&gt;"",20,0))+IF(ISNUMBER(SEARCH("状态1",Y241)),25,0)+IF(J241&lt;&gt;"",20,0)+IF(AA241&lt;&gt;"",15,0))/100,2)</x:f>
        <x:v>0.75</x:v>
      </x:c>
      <x:c r="L241" s="30" t="str">
        <x:v>待联系</x:v>
      </x:c>
      <x:c r="M241" s="30" t="str"/>
      <x:c r="N241" s="30" t="str">
        <x:v>2ND FLOOR , 2/2, AMAYA ATRIUM , LANGFORD ROAD,LANGFORD TOWN</x:v>
      </x:c>
      <x:c r="O241" s="30" t="str"/>
      <x:c r="P241" s="30" t="str">
        <x:v>会计、审计和簿记服务（税务准备、工资和其他会计服务；以及会计服务，包括设计会计系统、编制预算和编制财务报表）</x:v>
      </x:c>
      <x:c r="Q241" s="32" t="n">
        <x:v>2</x:v>
      </x:c>
      <x:c r="R241" s="32" t="n">
        <x:v>25062</x:v>
      </x:c>
      <x:c r="S241" s="33" t="n">
        <x:v>0.0001</x:v>
      </x:c>
      <x:c r="T241" s="34" t="n">
        <x:v>45589.666666666664</x:v>
      </x:c>
      <x:c r="U241" s="30" t="str">
        <x:v>finance.in@nilfisk.com</x:v>
      </x:c>
      <x:c r="V241" s="30" t="str"/>
      <x:c r="W241" s="30" t="str"/>
      <x:c r="X241" s="30" t="str"/>
      <x:c r="Y241" s="30" t="str"/>
      <x:c r="Z241" s="30" t="str"/>
      <x:c r="AA241" s="30" t="str">
        <x:v>https://www.facebook.com/NilfiskProfessional; https://www.instagram.com/nilfiskglobal; https://www.linkedin.com/company/nilfisk; https://www.youtube.com/user/NilfiskProfessional</x:v>
      </x:c>
      <x:c r="AB241" s="30" t="str"/>
      <x:c r="AC241" s="30" t="str">
        <x:v>finance.in@nilfisk.com:1</x:v>
      </x:c>
      <x:c r="AD241" s="30" t="str">
        <x:v>油漆刷</x:v>
      </x:c>
      <x:c r="AE241" s="30" t="str">
        <x:v>油漆刷；Bristles；Painting</x:v>
      </x:c>
      <x:c r="AF241" s="30" t="str">
        <x:v>Z7 22047, PAINTBRUSH D50/100 BRISTLES COMPLETE</x:v>
      </x:c>
      <x:c r="AG241" s="30" t="str">
        <x:v>油漆刷；油漆刷；Artist Brush；Decorative Brush；Household Brush</x:v>
      </x:c>
      <x:c r="AH241" s="30" t="str">
        <x:v>Bristles；Wood；塑料；金属；Paint</x:v>
      </x:c>
      <x:c r="AI241" s="30" t="str">
        <x:v>Wall Painting；Furniture Painting；Artwork Creation；Automobile Painting；Craft Projects</x:v>
      </x:c>
      <x:c r="AJ241" s="30" t="str">
        <x:v>油漆刷</x:v>
      </x:c>
      <x:c r="AK241" s="30" t="str">
        <x:v>expansion-search-paint-brush-page-03</x:v>
      </x:c>
      <x:c r="AL241" s="30" t="str">
        <x:v>UpKuajing customs company contact API</x:v>
      </x:c>
      <x:c r="AM241" s="30" t="str"/>
      <x:c r="AN241" s="30" t="str"/>
      <x:c r="AO241" s="34" t="n">
        <x:v>46220</x:v>
      </x:c>
    </x:row>
    <x:row r="242" ht="44" customHeight="1">
      <x:c r="A242" s="30" t="str">
        <x:v>API联系方式已获取</x:v>
      </x:c>
      <x:c r="B242" s="30" t="str">
        <x:v>常规-全球</x:v>
      </x:c>
      <x:c r="C242" s="30" t="str">
        <x:v>刷子</x:v>
      </x:c>
      <x:c r="D242" s="31" t="str">
        <x:v>20430284</x:v>
      </x:c>
      <x:c r="E242" s="30" t="str">
        <x:v>SERIMAX SRL</x:v>
      </x:c>
      <x:c r="F242" s="30" t="str">
        <x:v>巴拉圭</x:v>
      </x:c>
      <x:c r="G242" s="30" t="str">
        <x:v>daniel@serimax.com.py</x:v>
      </x:c>
      <x:c r="H242" s="30" t="str">
        <x:f>IF(ISNUMBER(SEARCH(":1",AC242)),"已验证有效",IF(ISNUMBER(SEARCH(":3",AC242)),"验证不确定",IF(ISNUMBER(SEARCH(":0",AC242)),"接口未能检测",IF(ISNUMBER(SEARCH(":2",AC242)),"判定无效",IF(V242&lt;&gt;"","官网已确认-未验证","无邮箱")))))</x:f>
        <x:v>已验证有效</x:v>
      </x:c>
      <x:c r="I242" s="30" t="str">
        <x:v>595296235</x:v>
      </x:c>
      <x:c r="J242" s="30" t="str">
        <x:v>serimax.com.py</x:v>
      </x:c>
      <x:c r="K242" s="35" t="n">
        <x:f>ROUND((IF(H242="已验证有效",40,IF(V242&lt;&gt;"",20,0))+IF(ISNUMBER(SEARCH("状态1",Y242)),25,0)+IF(J242&lt;&gt;"",20,0)+IF(AA242&lt;&gt;"",15,0))/100,2)</x:f>
        <x:v>0.75</x:v>
      </x:c>
      <x:c r="L242" s="30" t="str">
        <x:v>待联系</x:v>
      </x:c>
      <x:c r="M242" s="30" t="str"/>
      <x:c r="N242" s="30" t="str">
        <x:v>ACAHAY C/ RUTA TRANSCHACO</x:v>
      </x:c>
      <x:c r="O242" s="30" t="str"/>
      <x:c r="P242" s="30" t="str">
        <x:v>暂无经营范围信息</x:v>
      </x:c>
      <x:c r="Q242" s="32" t="n">
        <x:v>2</x:v>
      </x:c>
      <x:c r="R242" s="32" t="n">
        <x:v>6635</x:v>
      </x:c>
      <x:c r="S242" s="33" t="n">
        <x:v>0.0003</x:v>
      </x:c>
      <x:c r="T242" s="34" t="n">
        <x:v>45813.666666666664</x:v>
      </x:c>
      <x:c r="U242" s="30" t="str">
        <x:v>daniel@serimax.com.py; info@serimax.com; rrhh@serimax.com</x:v>
      </x:c>
      <x:c r="V242" s="30" t="str"/>
      <x:c r="W242" s="30" t="str">
        <x:v>595296235</x:v>
      </x:c>
      <x:c r="X242" s="30" t="str"/>
      <x:c r="Y242" s="30" t="str">
        <x:v>595296235:状态2/类型0/WhatsApp2</x:v>
      </x:c>
      <x:c r="Z242" s="30" t="str"/>
      <x:c r="AA242" s="30" t="str">
        <x:v>https://www.facebook.com/serimaxsrl/events; https://www.instagram.com/serimax_py; https://www.youtube.com/@serimax_py</x:v>
      </x:c>
      <x:c r="AB242" s="30" t="str"/>
      <x:c r="AC242" s="30" t="str">
        <x:v>daniel@serimax.com.py:1; info@serimax.com:0; rrhh@serimax.com:0</x:v>
      </x:c>
      <x:c r="AD242" s="30" t="str">
        <x:v>Broom；刷子；Scrubber；油漆刷；Head for brushing articles</x:v>
      </x:c>
      <x:c r="AE242" s="30" t="str">
        <x:v>Broom；刷子；Scrubber；油漆刷；Cleaning；Painting</x:v>
      </x:c>
      <x:c r="AF242" s="30" t="str">
        <x:v>MANUFACTURAS DIVERSAS ESCOBAS, CEPILLOS Y BROCHAS, AUNQUE SEAN PARTES DE MAQUINAS, APARATOS O VEHICULOS, ESCOBAS MECANICAS DE USO MANUAL, EXCEPTO LAS DE MOTOR, PINCELES Y PLUMEROS, CABEZAS PREPARADAS PARA ARTICULOS DE CEPILLERIA, ALMOHADILLAS Y RODILLOS,</x:v>
      </x:c>
      <x:c r="AG242" s="30" t="str">
        <x:v>Sweeper；Scrubbing brush；Cleaning brush；Paint roller；Scrubbing pad</x:v>
      </x:c>
      <x:c r="AH242" s="30" t="str">
        <x:v>塑料；Wood；Bristle；Fiber；金属</x:v>
      </x:c>
      <x:c r="AI242" s="30" t="str">
        <x:v>Household cleaning；Industrial cleaning；Automotive cleaning；建筑涂装；Art painting</x:v>
      </x:c>
      <x:c r="AJ242" s="30" t="str">
        <x:v>刷子</x:v>
      </x:c>
      <x:c r="AK242" s="30" t="str">
        <x:v>expansion-search-brush-page-03; expansion-search-brush-page-04</x:v>
      </x:c>
      <x:c r="AL242" s="30" t="str">
        <x:v>UpKuajing customs company contact API</x:v>
      </x:c>
      <x:c r="AM242" s="30" t="str"/>
      <x:c r="AN242" s="30" t="str"/>
      <x:c r="AO242" s="34" t="n">
        <x:v>46220</x:v>
      </x:c>
    </x:row>
    <x:row r="243" ht="44" customHeight="1">
      <x:c r="A243" s="30" t="str">
        <x:v>API联系方式已获取</x:v>
      </x:c>
      <x:c r="B243" s="30" t="str">
        <x:v>常规-全球</x:v>
      </x:c>
      <x:c r="C243" s="30" t="str">
        <x:v>刷子</x:v>
      </x:c>
      <x:c r="D243" s="31" t="str">
        <x:v>20463284</x:v>
      </x:c>
      <x:c r="E243" s="30" t="str">
        <x:v>SERVICE GLOBAL FOOTWEAR LIMITED</x:v>
      </x:c>
      <x:c r="F243" s="30" t="str">
        <x:v>巴基斯坦</x:v>
      </x:c>
      <x:c r="G243" s="30" t="str">
        <x:v>sgfl@servis.com</x:v>
      </x:c>
      <x:c r="H243" s="30" t="str">
        <x:f>IF(ISNUMBER(SEARCH(":1",AC243)),"已验证有效",IF(ISNUMBER(SEARCH(":3",AC243)),"验证不确定",IF(ISNUMBER(SEARCH(":0",AC243)),"接口未能检测",IF(ISNUMBER(SEARCH(":2",AC243)),"判定无效",IF(V243&lt;&gt;"","官网已确认-未验证","无邮箱")))))</x:f>
        <x:v>已验证有效</x:v>
      </x:c>
      <x:c r="I243" s="30" t="str">
        <x:v>+92 42 35751990</x:v>
      </x:c>
      <x:c r="J243" s="30" t="str">
        <x:v>www.serviceglobalfootwear.com</x:v>
      </x:c>
      <x:c r="K243" s="35" t="n">
        <x:f>ROUND((IF(H243="已验证有效",40,IF(V243&lt;&gt;"",20,0))+IF(ISNUMBER(SEARCH("状态1",Y243)),25,0)+IF(J243&lt;&gt;"",20,0)+IF(AA243&lt;&gt;"",15,0))/100,2)</x:f>
        <x:v>0.85</x:v>
      </x:c>
      <x:c r="L243" s="30" t="str">
        <x:v>待联系</x:v>
      </x:c>
      <x:c r="M243" s="30" t="str"/>
      <x:c r="N243" s="30" t="str">
        <x:v>SERVIS HOUSE , 2- MAIN GULBERG , 54662</x:v>
      </x:c>
      <x:c r="O243" s="30" t="str"/>
      <x:c r="P243" s="30" t="str">
        <x:v>暂无经营范围信息</x:v>
      </x:c>
      <x:c r="Q243" s="32" t="n">
        <x:v>2</x:v>
      </x:c>
      <x:c r="R243" s="32" t="n">
        <x:v>6796</x:v>
      </x:c>
      <x:c r="S243" s="33" t="n">
        <x:v>0.0003</x:v>
      </x:c>
      <x:c r="T243" s="34" t="n">
        <x:v>45830.666666666664</x:v>
      </x:c>
      <x:c r="U243" s="30" t="str">
        <x:v>sgfl@servis.com; shareholders@servis.com</x:v>
      </x:c>
      <x:c r="V243" s="30" t="str"/>
      <x:c r="W243" s="30" t="str">
        <x:v>+92 42 35751990; 9242357519906</x:v>
      </x:c>
      <x:c r="X243" s="30" t="str"/>
      <x:c r="Y243" s="30" t="str">
        <x:v>+92 42 35751990:状态1/类型1/WhatsApp2; 9242357519906:状态2/类型0/WhatsApp2</x:v>
      </x:c>
      <x:c r="Z243" s="30" t="str"/>
      <x:c r="AA243" s="30" t="str"/>
      <x:c r="AB243" s="30" t="str"/>
      <x:c r="AC243" s="30" t="str">
        <x:v>sgfl@servis.com:1; shareholders@servis.com:1</x:v>
      </x:c>
      <x:c r="AD243" s="30" t="str">
        <x:v>刷子</x:v>
      </x:c>
      <x:c r="AE243" s="30" t="str">
        <x:v>刷子；Shoe machine parts</x:v>
      </x:c>
      <x:c r="AF243" s="30" t="str">
        <x:v>BRUSH (PARTS OF SHOE MACHINE)----------(UNDER  SRO 957(I)2021 DATE;30-07-2021)</x:v>
      </x:c>
      <x:c r="AG243" s="30" t="str">
        <x:v>Broom；Scrubber；Sweeper；Duster；Cleaning brush</x:v>
      </x:c>
      <x:c r="AH243" s="30" t="str">
        <x:v>塑料；金属；Bristle；Fiber；Wood</x:v>
      </x:c>
      <x:c r="AI243" s="30" t="str">
        <x:v>Shoe factory；Footwear production line；Shoe repair shop；Leather goods factory；Textile factory</x:v>
      </x:c>
      <x:c r="AJ243" s="30" t="str">
        <x:v>刷子</x:v>
      </x:c>
      <x:c r="AK243" s="30" t="str">
        <x:v>expansion-search-brush-page-10</x:v>
      </x:c>
      <x:c r="AL243" s="30" t="str">
        <x:v>UpKuajing customs company contact API</x:v>
      </x:c>
      <x:c r="AM243" s="30" t="str"/>
      <x:c r="AN243" s="30" t="str"/>
      <x:c r="AO243" s="34" t="n">
        <x:v>46220</x:v>
      </x:c>
    </x:row>
    <x:row r="244" ht="44" customHeight="1">
      <x:c r="A244" s="30" t="str">
        <x:v>API联系方式已获取</x:v>
      </x:c>
      <x:c r="B244" s="30" t="str">
        <x:v>常规-全球</x:v>
      </x:c>
      <x:c r="C244" s="30" t="str">
        <x:v>刷子</x:v>
      </x:c>
      <x:c r="D244" s="31" t="str">
        <x:v>20452743</x:v>
      </x:c>
      <x:c r="E244" s="30" t="str">
        <x:v>SUNGLASS PALACE PRIVATE LIMITED</x:v>
      </x:c>
      <x:c r="F244" s="30" t="str">
        <x:v>印度</x:v>
      </x:c>
      <x:c r="G244" s="30" t="str">
        <x:v>yogesh@sunglasspalace.net</x:v>
      </x:c>
      <x:c r="H244" s="30" t="str">
        <x:f>IF(ISNUMBER(SEARCH(":1",AC244)),"已验证有效",IF(ISNUMBER(SEARCH(":3",AC244)),"验证不确定",IF(ISNUMBER(SEARCH(":0",AC244)),"接口未能检测",IF(ISNUMBER(SEARCH(":2",AC244)),"判定无效",IF(V244&lt;&gt;"","官网已确认-未验证","无邮箱")))))</x:f>
        <x:v>已验证有效</x:v>
      </x:c>
      <x:c r="I244" s="30" t="str">
        <x:v>+91 120 435 9711</x:v>
      </x:c>
      <x:c r="J244" s="30" t="str">
        <x:v>www.sgplindia.co.in</x:v>
      </x:c>
      <x:c r="K244" s="35" t="n">
        <x:f>ROUND((IF(H244="已验证有效",40,IF(V244&lt;&gt;"",20,0))+IF(ISNUMBER(SEARCH("状态1",Y244)),25,0)+IF(J244&lt;&gt;"",20,0)+IF(AA244&lt;&gt;"",15,0))/100,2)</x:f>
        <x:v>0.85</x:v>
      </x:c>
      <x:c r="L244" s="30" t="str">
        <x:v>待联系</x:v>
      </x:c>
      <x:c r="M244" s="30" t="str"/>
      <x:c r="N244" s="30" t="str">
        <x:v>129G/64 Nsez, Phase-II,</x:v>
      </x:c>
      <x:c r="O244" s="30" t="str"/>
      <x:c r="P244" s="30" t="str">
        <x:v>家居摆设、家具及家居用品</x:v>
      </x:c>
      <x:c r="Q244" s="32" t="n">
        <x:v>2</x:v>
      </x:c>
      <x:c r="R244" s="32" t="n">
        <x:v>5403</x:v>
      </x:c>
      <x:c r="S244" s="33" t="n">
        <x:v>0.0004</x:v>
      </x:c>
      <x:c r="T244" s="34" t="n">
        <x:v>45758.666666666664</x:v>
      </x:c>
      <x:c r="U244" s="30" t="str">
        <x:v>info@sgplindia.co; yogesh@sunglasspalace.net</x:v>
      </x:c>
      <x:c r="V244" s="30" t="str"/>
      <x:c r="W244" s="30" t="str">
        <x:v>+91 120 435 9711</x:v>
      </x:c>
      <x:c r="X244" s="30" t="str"/>
      <x:c r="Y244" s="30" t="str">
        <x:v>+91 120 435 9711:状态1/类型1/WhatsApp2</x:v>
      </x:c>
      <x:c r="Z244" s="30" t="str"/>
      <x:c r="AA244" s="30" t="str"/>
      <x:c r="AB244" s="30" t="str"/>
      <x:c r="AC244" s="30" t="str">
        <x:v>info@sgplindia.co:0; yogesh@sunglasspalace.net:1</x:v>
      </x:c>
      <x:c r="AD244" s="30" t="str">
        <x:v>Lighter</x:v>
      </x:c>
      <x:c r="AE244" s="30" t="str">
        <x:v>Lighter；Chrome；Brush Finish</x:v>
      </x:c>
      <x:c r="AF244" s="30" t="str">
        <x:v>200-028265 Reg Brush Finish Chrome (SHIPMENT MEANT FOR 100%RE-EXPORT FOR THIRD COUNTRY) (LIGHTER WITHOUT FLUID)200-028265 Reg Brush Finish Chrome (SHIPMENT MEANT FOR 100%</x:v>
      </x:c>
      <x:c r="AG244" s="30" t="str">
        <x:v>Flame lighter；Fire starter；Ignition device；Portable lighter；Fuel lighter</x:v>
      </x:c>
      <x:c r="AH244" s="30" t="str">
        <x:v>金属；塑料；Fuel container；Wick；Ignition mechanism</x:v>
      </x:c>
      <x:c r="AI244" s="30" t="str">
        <x:v>Cigarette lighting；Candle lighting；Campfire starting；Fireworks ignition；Gas stove ignition</x:v>
      </x:c>
      <x:c r="AJ244" s="30" t="str">
        <x:v>刷子</x:v>
      </x:c>
      <x:c r="AK244" s="30" t="str">
        <x:v>expansion-search-brush-page-08</x:v>
      </x:c>
      <x:c r="AL244" s="30" t="str">
        <x:v>UpKuajing customs company contact API</x:v>
      </x:c>
      <x:c r="AM244" s="30" t="str"/>
      <x:c r="AN244" s="30" t="str"/>
      <x:c r="AO244" s="34" t="n">
        <x:v>46220</x:v>
      </x:c>
    </x:row>
    <x:row r="245" ht="44" customHeight="1">
      <x:c r="A245" s="30" t="str">
        <x:v>API联系方式已获取</x:v>
      </x:c>
      <x:c r="B245" s="30" t="str">
        <x:v>常规-全球</x:v>
      </x:c>
      <x:c r="C245" s="30" t="str">
        <x:v>刷子</x:v>
      </x:c>
      <x:c r="D245" s="31" t="str">
        <x:v>20457978</x:v>
      </x:c>
      <x:c r="E245" s="30" t="str">
        <x:v>TEXT BOOK CENTRE LTD</x:v>
      </x:c>
      <x:c r="F245" s="30" t="str">
        <x:v>肯尼亚</x:v>
      </x:c>
      <x:c r="G245" s="30" t="str">
        <x:v>ben.sumba@tbc.co</x:v>
      </x:c>
      <x:c r="H245" s="30" t="str">
        <x:f>IF(ISNUMBER(SEARCH(":1",AC245)),"已验证有效",IF(ISNUMBER(SEARCH(":3",AC245)),"验证不确定",IF(ISNUMBER(SEARCH(":0",AC245)),"接口未能检测",IF(ISNUMBER(SEARCH(":2",AC245)),"判定无效",IF(V245&lt;&gt;"","官网已确认-未验证","无邮箱")))))</x:f>
        <x:v>接口未能检测</x:v>
      </x:c>
      <x:c r="I245" s="30" t="str">
        <x:v>+254 111 011300</x:v>
      </x:c>
      <x:c r="J245" s="30" t="str">
        <x:v>textbookcentre.com</x:v>
      </x:c>
      <x:c r="K245" s="35" t="n">
        <x:f>ROUND((IF(H245="已验证有效",40,IF(V245&lt;&gt;"",20,0))+IF(ISNUMBER(SEARCH("状态1",Y245)),25,0)+IF(J245&lt;&gt;"",20,0)+IF(AA245&lt;&gt;"",15,0))/100,2)</x:f>
        <x:v>0.6</x:v>
      </x:c>
      <x:c r="L245" s="30" t="str">
        <x:v>待联系</x:v>
      </x:c>
      <x:c r="M245" s="30" t="str"/>
      <x:c r="N245" s="30" t="str">
        <x:v>nairobi, nairobi area, kenya p/o box 47540</x:v>
      </x:c>
      <x:c r="O245" s="30" t="str"/>
      <x:c r="P245" s="30" t="str">
        <x:v>暂无经营范围信息</x:v>
      </x:c>
      <x:c r="Q245" s="32" t="n">
        <x:v>2</x:v>
      </x:c>
      <x:c r="R245" s="32" t="n">
        <x:v>1314</x:v>
      </x:c>
      <x:c r="S245" s="33" t="n">
        <x:v>0.0015</x:v>
      </x:c>
      <x:c r="T245" s="34" t="n">
        <x:v>46136.666666666664</x:v>
      </x:c>
      <x:c r="U245" s="30" t="str">
        <x:v>ben.sumba@tbc.co; brian.kadima@tbc.co; customerservice@tbc.co; eunice.kamau@tbc.co; jane.kimaru@tbc.co; jane.nyokabi@tbc.co; ken.indambira@tbc.co; leonard.kihima@tbc.co; moses.ndiema@tbc.co; online.orders@tbc.co; rodgers.khaemba@tbc.co; shem.otieno@tbc.co; suresh.kumar@tbc.co</x:v>
      </x:c>
      <x:c r="V245" s="30" t="str"/>
      <x:c r="W245" s="30" t="str">
        <x:v>+254 111 011300; +254 114 509617; +254 730 735000; +254 730 735120; +254 730 735126; +254 730 735127; +254 730 735129; +254 730 735142; +254 730 735153; +254 730 735156; +254 730 735157; +254 730 735159; +254 730 735191; +254 730 735302</x:v>
      </x:c>
      <x:c r="X245" s="30" t="str"/>
      <x:c r="Y245" s="30" t="str">
        <x:v>+254 111 011300:状态1/类型2/WhatsApp2; +254 114 509617:状态1/类型2/WhatsApp1; +254 730 735000:状态1/类型2/WhatsApp2; +254 730 735120:状态1/类型2/WhatsApp2; +254 730 735126:状态1/类型2/WhatsApp2; +254 730 735127:状态1/类型2/WhatsApp2; +254 730 735129:状态1/类型2/WhatsApp2; +254 730 735142:状态1/类型2/WhatsApp2; +254 730 735153:状态1/类型2/WhatsApp2; +254 730 735156:状态1/类型2/WhatsApp2; +254 730 735157:状态1/类型2/WhatsApp2; +254 730 735159:状态1/类型2/WhatsApp2; +254 730 735191:状态1/类型2/WhatsApp2; +254 730 735302:状态1/类型2/WhatsApp2</x:v>
      </x:c>
      <x:c r="Z245" s="30" t="str">
        <x:v>+254 114 509617</x:v>
      </x:c>
      <x:c r="AA245" s="30" t="str">
        <x:v>https://www.facebook.com/textbookcentre; https://www.linkedin.com/company/text-book-centre-ltd; https://twitter.com/textbookcentrel</x:v>
      </x:c>
      <x:c r="AB245" s="30" t="str"/>
      <x:c r="AC245" s="30" t="str">
        <x:v>ben.sumba@tbc.co:0; brian.kadima@tbc.co:0; customerservice@tbc.co:0; eunice.kamau@tbc.co:0; jane.kimaru@tbc.co:0; jane.nyokabi@tbc.co:0; ken.indambira@tbc.co:0; leonard.kihima@tbc.co:0; moses.ndiema@tbc.co:0; online.orders@tbc.co:0; rodgers.khaemba@tbc.co:0; shem.otieno@tbc.co:0; suresh.kumar@tbc.co:0</x:v>
      </x:c>
      <x:c r="AD245" s="30" t="str"/>
      <x:c r="AE245" s="30" t="str"/>
      <x:c r="AF245" s="30" t="str">
        <x:v>A W FABER CASTEL; ASSORTED BRUSH; 1; 9484; 1</x:v>
      </x:c>
      <x:c r="AG245" s="30" t="str"/>
      <x:c r="AH245" s="30" t="str"/>
      <x:c r="AI245" s="30" t="str"/>
      <x:c r="AJ245" s="30" t="str">
        <x:v>刷子</x:v>
      </x:c>
      <x:c r="AK245" s="30" t="str">
        <x:v>expansion-search-brush-page-09</x:v>
      </x:c>
      <x:c r="AL245" s="30" t="str">
        <x:v>UpKuajing customs company contact API</x:v>
      </x:c>
      <x:c r="AM245" s="30" t="str"/>
      <x:c r="AN245" s="30" t="str"/>
      <x:c r="AO245" s="34" t="n">
        <x:v>46220</x:v>
      </x:c>
    </x:row>
    <x:row r="246" ht="44" customHeight="1">
      <x:c r="A246" s="30" t="str">
        <x:v>API联系方式已获取</x:v>
      </x:c>
      <x:c r="B246" s="30" t="str">
        <x:v>常规-全球</x:v>
      </x:c>
      <x:c r="C246" s="30" t="str">
        <x:v>胶带</x:v>
      </x:c>
      <x:c r="D246" s="31" t="str">
        <x:v>20432902</x:v>
      </x:c>
      <x:c r="E246" s="30" t="str">
        <x:v>TOHOKU PIONEER CORPORATION</x:v>
      </x:c>
      <x:c r="F246" s="30" t="str">
        <x:v>日本</x:v>
      </x:c>
      <x:c r="G246" s="30" t="str">
        <x:v>ir_tpc@post.pioneer.co.jp</x:v>
      </x:c>
      <x:c r="H246" s="30" t="str">
        <x:f>IF(ISNUMBER(SEARCH(":1",AC246)),"已验证有效",IF(ISNUMBER(SEARCH(":3",AC246)),"验证不确定",IF(ISNUMBER(SEARCH(":0",AC246)),"接口未能检测",IF(ISNUMBER(SEARCH(":2",AC246)),"判定无效",IF(V246&lt;&gt;"","官网已确认-未验证","无邮箱")))))</x:f>
        <x:v>已验证有效</x:v>
      </x:c>
      <x:c r="I246" s="30" t="str">
        <x:v>+81 23-654-1211</x:v>
      </x:c>
      <x:c r="J246" s="30" t="str">
        <x:v>www.pioneer.co.jp</x:v>
      </x:c>
      <x:c r="K246" s="35" t="n">
        <x:f>ROUND((IF(H246="已验证有效",40,IF(V246&lt;&gt;"",20,0))+IF(ISNUMBER(SEARCH("状态1",Y246)),25,0)+IF(J246&lt;&gt;"",20,0)+IF(AA246&lt;&gt;"",15,0))/100,2)</x:f>
        <x:v>1</x:v>
      </x:c>
      <x:c r="L246" s="30" t="str">
        <x:v>待联系</x:v>
      </x:c>
      <x:c r="M246" s="30" t="str"/>
      <x:c r="N246" s="30" t="str">
        <x:v>1105, AZANIKKO, KUNOMOTO</x:v>
      </x:c>
      <x:c r="O246" s="30" t="str"/>
      <x:c r="P246" s="30" t="str">
        <x:v>提供扬声器、汽车音响机构、工厂自动化系统、光盘制造系统、有机发光二极管显示器、麦克风、耳机、精密冲压件、精密树脂成型件、精密模具；提供录音室监听音箱和家用音箱，以及用于手机和笔记本电脑的超轻迷你音箱；视听配件；以及汽车音响系统的机构，例如、、和盒式磁带播放器</x:v>
      </x:c>
      <x:c r="Q246" s="32" t="n">
        <x:v>2</x:v>
      </x:c>
      <x:c r="R246" s="32" t="n">
        <x:v>690</x:v>
      </x:c>
      <x:c r="S246" s="33" t="n">
        <x:v>0.0029</x:v>
      </x:c>
      <x:c r="T246" s="34" t="n">
        <x:v>45760.666666666664</x:v>
      </x:c>
      <x:c r="U246" s="30" t="str">
        <x:v>ir_tpc@post.pioneer.co.jp</x:v>
      </x:c>
      <x:c r="V246" s="30" t="str"/>
      <x:c r="W246" s="30" t="str">
        <x:v>0420091032; 05052436783; +81 23-654-1211</x:v>
      </x:c>
      <x:c r="X246" s="30" t="str"/>
      <x:c r="Y246" s="30" t="str">
        <x:v>0420091032:状态2/类型0/WhatsApp0; 05052436783:状态2/类型0/WhatsApp0; +81 23-654-1211:状态1/类型1/WhatsApp2</x:v>
      </x:c>
      <x:c r="Z246" s="30" t="str"/>
      <x:c r="AA246" s="30" t="str">
        <x:v>https://www.youtube.com/watch?v=MKT-0U4_JDA</x:v>
      </x:c>
      <x:c r="AB246" s="30" t="str"/>
      <x:c r="AC246" s="30" t="str">
        <x:v>ir_tpc@post.pioneer.co.jp:1</x:v>
      </x:c>
      <x:c r="AD246" s="30" t="str">
        <x:v>Washing ring</x:v>
      </x:c>
      <x:c r="AE246" s="30" t="str">
        <x:v>Washing ring；Synthetic textile tape；Washing</x:v>
      </x:c>
      <x:c r="AF246" s="30" t="str">
        <x:v>TVW1049-A/XI-QA#&amp;Washing ring (synthetic textile tape) TVW1049-A/XI-QA, Diameter 34.5mm. 100% new#&amp;VN</x:v>
      </x:c>
      <x:c r="AG246" s="30" t="str">
        <x:v>Wash ring；Cleaning ring；Scrubbing ring；Rinsing ring；Purifying ring</x:v>
      </x:c>
      <x:c r="AH246" s="30" t="str">
        <x:v>Synthetic fiber；Textile material；聚合物；Fiber blend；Chemical fiber</x:v>
      </x:c>
      <x:c r="AI246" s="30" t="str">
        <x:v>Laundry equipment；Cleaning products；Household appliances；Industrial washing machines；Automotive cleaning</x:v>
      </x:c>
      <x:c r="AJ246" s="30" t="str">
        <x:v>胶带</x:v>
      </x:c>
      <x:c r="AK246" s="30" t="str">
        <x:v>expansion-search-tape-page-02</x:v>
      </x:c>
      <x:c r="AL246" s="30" t="str">
        <x:v>UpKuajing customs company contact API</x:v>
      </x:c>
      <x:c r="AM246" s="30" t="str"/>
      <x:c r="AN246" s="30" t="str"/>
      <x:c r="AO246" s="34" t="n">
        <x:v>46220</x:v>
      </x:c>
    </x:row>
    <x:row r="247" ht="44" customHeight="1">
      <x:c r="A247" s="30" t="str">
        <x:v>API联系方式已获取</x:v>
      </x:c>
      <x:c r="B247" s="30" t="str">
        <x:v>常规-全球</x:v>
      </x:c>
      <x:c r="C247" s="30" t="str">
        <x:v>油漆刷</x:v>
      </x:c>
      <x:c r="D247" s="31" t="str">
        <x:v>20254995</x:v>
      </x:c>
      <x:c r="E247" s="30" t="str">
        <x:v>TOTO INDIA INDUSTRIES PRIVATE LIMITED</x:v>
      </x:c>
      <x:c r="F247" s="30" t="str">
        <x:v>印度</x:v>
      </x:c>
      <x:c r="G247" s="30" t="str">
        <x:v>info.tin@toto.com</x:v>
      </x:c>
      <x:c r="H247" s="30" t="str">
        <x:f>IF(ISNUMBER(SEARCH(":1",AC247)),"已验证有效",IF(ISNUMBER(SEARCH(":3",AC247)),"验证不确定",IF(ISNUMBER(SEARCH(":0",AC247)),"接口未能检测",IF(ISNUMBER(SEARCH(":2",AC247)),"判定无效",IF(V247&lt;&gt;"","官网已确认-未验证","无邮箱")))))</x:f>
        <x:v>已验证有效</x:v>
      </x:c>
      <x:c r="I247" s="30" t="str">
        <x:v>+91 22 2832 5741</x:v>
      </x:c>
      <x:c r="J247" s="30" t="str">
        <x:v>toto.com</x:v>
      </x:c>
      <x:c r="K247" s="35" t="n">
        <x:f>ROUND((IF(H247="已验证有效",40,IF(V247&lt;&gt;"",20,0))+IF(ISNUMBER(SEARCH("状态1",Y247)),25,0)+IF(J247&lt;&gt;"",20,0)+IF(AA247&lt;&gt;"",15,0))/100,2)</x:f>
        <x:v>0.85</x:v>
      </x:c>
      <x:c r="L247" s="30" t="str">
        <x:v>待联系</x:v>
      </x:c>
      <x:c r="M247" s="30" t="str"/>
      <x:c r="N247" s="30" t="str">
        <x:v>UNIT NO. 1002 , 10TH FLOOR. KAMLA EXECUTIVE PARK OFF ANDHERI KURLA ROAD , MIDC LANE, ANDHERI EAST MUMBAI</x:v>
      </x:c>
      <x:c r="O247" s="30" t="str"/>
      <x:c r="P247" s="30" t="str">
        <x:v>卫生间、浴室、厨房和厕所用品</x:v>
      </x:c>
      <x:c r="Q247" s="32" t="n">
        <x:v>2</x:v>
      </x:c>
      <x:c r="R247" s="32" t="n">
        <x:v>20748</x:v>
      </x:c>
      <x:c r="S247" s="33" t="n">
        <x:v>0.0001</x:v>
      </x:c>
      <x:c r="T247" s="34" t="n">
        <x:v>45593.666666666664</x:v>
      </x:c>
      <x:c r="U247" s="30" t="str">
        <x:v>info.tin@toto.com</x:v>
      </x:c>
      <x:c r="V247" s="30" t="str"/>
      <x:c r="W247" s="30" t="str">
        <x:v>+91 22 2832 5741</x:v>
      </x:c>
      <x:c r="X247" s="30" t="str"/>
      <x:c r="Y247" s="30" t="str">
        <x:v>+91 22 2832 5741:状态1/类型1/WhatsApp2</x:v>
      </x:c>
      <x:c r="Z247" s="30" t="str"/>
      <x:c r="AA247" s="30" t="str"/>
      <x:c r="AB247" s="30" t="str"/>
      <x:c r="AC247" s="30" t="str">
        <x:v>info.tin@toto.com:1</x:v>
      </x:c>
      <x:c r="AD247" s="30" t="str">
        <x:v>油漆刷</x:v>
      </x:c>
      <x:c r="AE247" s="30" t="str">
        <x:v>油漆刷；Sanitaryware Plant Use Materials</x:v>
      </x:c>
      <x:c r="AF247" s="30" t="str">
        <x:v>PAINTING BRUSH (FLAT) 29000038 (ITEM NO. C08279) (SANITARYWARE PLANT USE MATERIALS)- 50 PCS</x:v>
      </x:c>
      <x:c r="AG247" s="30" t="str">
        <x:v>油漆刷；Artist Brush；Decorative Brush；House Painting Brush；Wall Painting Brush</x:v>
      </x:c>
      <x:c r="AH247" s="30" t="str">
        <x:v>Wood；塑料；Bristle；Fiber；金属</x:v>
      </x:c>
      <x:c r="AI247" s="30" t="str">
        <x:v>Artwork；Furniture；Wall；Ceiling；Door</x:v>
      </x:c>
      <x:c r="AJ247" s="30" t="str">
        <x:v>油漆刷</x:v>
      </x:c>
      <x:c r="AK247" s="30" t="str">
        <x:v>expansion-search-paint-brush-page-03</x:v>
      </x:c>
      <x:c r="AL247" s="30" t="str">
        <x:v>UpKuajing customs company contact API</x:v>
      </x:c>
      <x:c r="AM247" s="30" t="str"/>
      <x:c r="AN247" s="30" t="str"/>
      <x:c r="AO247" s="34" t="n">
        <x:v>46220</x:v>
      </x:c>
    </x:row>
    <x:row r="248" ht="44" customHeight="1">
      <x:c r="A248" s="30" t="str">
        <x:v>API联系方式已获取</x:v>
      </x:c>
      <x:c r="B248" s="30" t="str">
        <x:v>常规-全球</x:v>
      </x:c>
      <x:c r="C248" s="30" t="str">
        <x:v>刷子</x:v>
      </x:c>
      <x:c r="D248" s="31" t="str">
        <x:v>20431136</x:v>
      </x:c>
      <x:c r="E248" s="30" t="str">
        <x:v>TUUSHIN LLC</x:v>
      </x:c>
      <x:c r="F248" s="30" t="str">
        <x:v>蒙古</x:v>
      </x:c>
      <x:c r="G248" s="30" t="str">
        <x:v>batbileg@tuushin.mn</x:v>
      </x:c>
      <x:c r="H248" s="30" t="str">
        <x:f>IF(ISNUMBER(SEARCH(":1",AC248)),"已验证有效",IF(ISNUMBER(SEARCH(":3",AC248)),"验证不确定",IF(ISNUMBER(SEARCH(":0",AC248)),"接口未能检测",IF(ISNUMBER(SEARCH(":2",AC248)),"判定无效",IF(V248&lt;&gt;"","官网已确认-未验证","无邮箱")))))</x:f>
        <x:v>已验证有效</x:v>
      </x:c>
      <x:c r="I248" s="30" t="str">
        <x:v>+976 11 32 2800</x:v>
      </x:c>
      <x:c r="J248" s="30" t="str">
        <x:v>www.tuushin.mn</x:v>
      </x:c>
      <x:c r="K248" s="35" t="n">
        <x:f>ROUND((IF(H248="已验证有效",40,IF(V248&lt;&gt;"",20,0))+IF(ISNUMBER(SEARCH("状态1",Y248)),25,0)+IF(J248&lt;&gt;"",20,0)+IF(AA248&lt;&gt;"",15,0))/100,2)</x:f>
        <x:v>1</x:v>
      </x:c>
      <x:c r="L248" s="30" t="str">
        <x:v>待联系</x:v>
      </x:c>
      <x:c r="M248" s="30" t="str"/>
      <x:c r="N248" s="30" t="str">
        <x:v>TUUSHIN BLDG , AMAR STREET , 8TH KHOROO , SUKHBAATAR DISTRICT</x:v>
      </x:c>
      <x:c r="O248" s="30" t="str"/>
      <x:c r="P248" s="30" t="str">
        <x:v>暂无经营范围信息</x:v>
      </x:c>
      <x:c r="Q248" s="32" t="n">
        <x:v>2</x:v>
      </x:c>
      <x:c r="R248" s="32" t="n">
        <x:v>3752</x:v>
      </x:c>
      <x:c r="S248" s="33" t="n">
        <x:v>0.0005</x:v>
      </x:c>
      <x:c r="T248" s="34" t="n">
        <x:v>45534.666666666664</x:v>
      </x:c>
      <x:c r="U248" s="30" t="str">
        <x:v>baljinnyam@tuushin.mn; batbileg@tuushin.mn; buyanochir@tuushin.mn; dorjoo@tuushin.mn; fedexmn2@tuushin.mn; info@tuushin.mn; khanat@tuushin.mn; khishigdorj@tuushin.mn; name@example.com; ongoo@tuushin.mn; quality@tuushin.mn; sanchir@tuushin.mn; shinenyam@tuushin.mn; sumiya@tuushin.mn; tuul@tuushin.mn; unurbayar@tuushin.mn</x:v>
      </x:c>
      <x:c r="V248" s="30" t="str"/>
      <x:c r="W248" s="30" t="str">
        <x:v>+976 11 32 2800</x:v>
      </x:c>
      <x:c r="X248" s="30" t="str"/>
      <x:c r="Y248" s="30" t="str">
        <x:v>+976 11 32 2800:状态1/类型1/WhatsApp2</x:v>
      </x:c>
      <x:c r="Z248" s="30" t="str"/>
      <x:c r="AA248" s="30" t="str">
        <x:v>https://www.facebook.com/bwptuushin; https://www.facebook.com/Tuushin.official; https://www.instagram.com/bwptuushinhotel; https://www.linkedin.com/company/best-western-premier-tuushin-hotel; https://www.linkedin.com/in/tuushin-llc-71aa9b17a; https://www.youtube.com/channel/UCOhIbHtSy9XuQl9h3ZgkjwA; https://www.youtube.com/channel/UCVH3zs6njrXSRLkPnkjP9IA</x:v>
      </x:c>
      <x:c r="AB248" s="30" t="str"/>
      <x:c r="AC248" s="30" t="str">
        <x:v>baljinnyam@tuushin.mn:0; batbileg@tuushin.mn:1; buyanochir@tuushin.mn:1; dorjoo@tuushin.mn:1; fedexmn2@tuushin.mn:0; info@tuushin.mn:1; khanat@tuushin.mn:1; khishigdorj@tuushin.mn:0; name@example.com:0; ongoo@tuushin.mn:1; quality@tuushin.mn:1; sanchir@tuushin.mn:1; shinenyam@tuushin.mn:0; sumiya@tuushin.mn:1; tuul@tuushin.mn:0; unurbayar@tuushin.mn:1</x:v>
      </x:c>
      <x:c r="AD248" s="30" t="str"/>
      <x:c r="AE248" s="30" t="str"/>
      <x:c r="AF248" s="30" t="str">
        <x:v>BRUSH D | NAILS</x:v>
      </x:c>
      <x:c r="AG248" s="30" t="str"/>
      <x:c r="AH248" s="30" t="str"/>
      <x:c r="AI248" s="30" t="str"/>
      <x:c r="AJ248" s="30" t="str">
        <x:v>刷子</x:v>
      </x:c>
      <x:c r="AK248" s="30" t="str">
        <x:v>expansion-search-brush-page-04</x:v>
      </x:c>
      <x:c r="AL248" s="30" t="str">
        <x:v>UpKuajing customs company contact API</x:v>
      </x:c>
      <x:c r="AM248" s="30" t="str"/>
      <x:c r="AN248" s="30" t="str"/>
      <x:c r="AO248" s="34" t="n">
        <x:v>46220</x:v>
      </x:c>
    </x:row>
    <x:row r="249" ht="44" customHeight="1">
      <x:c r="A249" s="30" t="str">
        <x:v>API联系方式已获取</x:v>
      </x:c>
      <x:c r="B249" s="30" t="str">
        <x:v>常规-全球</x:v>
      </x:c>
      <x:c r="C249" s="30" t="str">
        <x:v>PVC护角条</x:v>
      </x:c>
      <x:c r="D249" s="31" t="str">
        <x:v>4679989</x:v>
      </x:c>
      <x:c r="E249" s="30" t="str">
        <x:v>achon industrial s.a.</x:v>
      </x:c>
      <x:c r="F249" s="30" t="str">
        <x:v>巴拉圭</x:v>
      </x:c>
      <x:c r="G249" s="30" t="str">
        <x:v>achonvta@rieder.net.py</x:v>
      </x:c>
      <x:c r="H249" s="30" t="str">
        <x:f>IF(ISNUMBER(SEARCH(":1",AC249)),"已验证有效",IF(ISNUMBER(SEARCH(":3",AC249)),"验证不确定",IF(ISNUMBER(SEARCH(":0",AC249)),"接口未能检测",IF(ISNUMBER(SEARCH(":2",AC249)),"判定无效",IF(V249&lt;&gt;"","官网已确认-未验证","无邮箱")))))</x:f>
        <x:v>接口未能检测</x:v>
      </x:c>
      <x:c r="I249" s="30" t="str">
        <x:v>+595 21 607 999</x:v>
      </x:c>
      <x:c r="J249" s="30" t="str">
        <x:v>www.achon.com.py</x:v>
      </x:c>
      <x:c r="K249" s="35" t="n">
        <x:f>ROUND((IF(H249="已验证有效",40,IF(V249&lt;&gt;"",20,0))+IF(ISNUMBER(SEARCH("状态1",Y249)),25,0)+IF(J249&lt;&gt;"",20,0)+IF(AA249&lt;&gt;"",15,0))/100,2)</x:f>
        <x:v>0.6</x:v>
      </x:c>
      <x:c r="L249" s="30" t="str">
        <x:v>待联系</x:v>
      </x:c>
      <x:c r="M249" s="30" t="str"/>
      <x:c r="N249" s="30" t="str">
        <x:v>CAPITAN EMETERIO MIRANDAS Y MCAL. LOPEZ</x:v>
      </x:c>
      <x:c r="O249" s="30" t="str"/>
      <x:c r="P249" s="30" t="str">
        <x:v>木制品、单板、胶合板和结构木材以及其他相关产品</x:v>
      </x:c>
      <x:c r="Q249" s="32" t="n">
        <x:v>1</x:v>
      </x:c>
      <x:c r="R249" s="32" t="n">
        <x:v>6966</x:v>
      </x:c>
      <x:c r="S249" s="33" t="n">
        <x:v>0.0001</x:v>
      </x:c>
      <x:c r="T249" s="34" t="n">
        <x:v>45567.666666666664</x:v>
      </x:c>
      <x:c r="U249" s="30" t="str">
        <x:v>achonvta@rieder.net.py</x:v>
      </x:c>
      <x:c r="V249" s="30" t="str"/>
      <x:c r="W249" s="30" t="str">
        <x:v>+595 21 607 999</x:v>
      </x:c>
      <x:c r="X249" s="30" t="str"/>
      <x:c r="Y249" s="30" t="str">
        <x:v>+595 21 607 999:状态1/类型1/WhatsApp2</x:v>
      </x:c>
      <x:c r="Z249" s="30" t="str"/>
      <x:c r="AA249" s="30" t="str">
        <x:v>https://www.facebook.com/mundoachon; https://www.linkedin.com/company/achonindustrialsa; https://twitter.com/MundoAchon</x:v>
      </x:c>
      <x:c r="AB249" s="30" t="str"/>
      <x:c r="AC249" s="30" t="str">
        <x:v>achonvta@rieder.net.py:0</x:v>
      </x:c>
      <x:c r="AD249" s="30" t="str">
        <x:v>PVC护角条</x:v>
      </x:c>
      <x:c r="AE249" s="30" t="str">
        <x:v>PVC；Corner protector</x:v>
      </x:c>
      <x:c r="AF249" s="30" t="str">
        <x:v>TAPA CANTOS DE PVC - C. PVC 22 X1 1476S ROBLE KENDAL NATURAL EGGER H317</x:v>
      </x:c>
      <x:c r="AG249" s="30" t="str">
        <x:v>PVC Edge Protector；PVC护角条；PVC Edge Guard；PVC Corner Trim；PVC Edge Trim</x:v>
      </x:c>
      <x:c r="AH249" s="30" t="str">
        <x:v>PVC Resin；增塑剂；Stabilizer；Lubricant；Filler</x:v>
      </x:c>
      <x:c r="AI249" s="30" t="str">
        <x:v>Furniture；Cabinetry；Doors；Windows；Wall Panels</x:v>
      </x:c>
      <x:c r="AJ249" s="30" t="str">
        <x:v>PVC护角条</x:v>
      </x:c>
      <x:c r="AK249" s="30" t="str">
        <x:v>expansion-search-pvc-corner-guard-page-01</x:v>
      </x:c>
      <x:c r="AL249" s="30" t="str">
        <x:v>UpKuajing customs company contact API</x:v>
      </x:c>
      <x:c r="AM249" s="30" t="str"/>
      <x:c r="AN249" s="30" t="str"/>
      <x:c r="AO249" s="34" t="n">
        <x:v>46220</x:v>
      </x:c>
    </x:row>
    <x:row r="250" ht="44" customHeight="1">
      <x:c r="A250" s="30" t="str">
        <x:v>API联系方式已获取</x:v>
      </x:c>
      <x:c r="B250" s="30" t="str">
        <x:v>常规-全球</x:v>
      </x:c>
      <x:c r="C250" s="30" t="str">
        <x:v>刷子</x:v>
      </x:c>
      <x:c r="D250" s="31" t="str">
        <x:v>20436168</x:v>
      </x:c>
      <x:c r="E250" s="30" t="str">
        <x:v>AIR FACILITY PANAMA S A</x:v>
      </x:c>
      <x:c r="F250" s="30" t="str">
        <x:v>巴拿马</x:v>
      </x:c>
      <x:c r="G250" s="30" t="str">
        <x:v>jear@airfacilitypty.com</x:v>
      </x:c>
      <x:c r="H250" s="30" t="str">
        <x:f>IF(ISNUMBER(SEARCH(":1",AC250)),"已验证有效",IF(ISNUMBER(SEARCH(":3",AC250)),"验证不确定",IF(ISNUMBER(SEARCH(":0",AC250)),"接口未能检测",IF(ISNUMBER(SEARCH(":2",AC250)),"判定无效",IF(V250&lt;&gt;"","官网已确认-未验证","无邮箱")))))</x:f>
        <x:v>已验证有效</x:v>
      </x:c>
      <x:c r="I250" s="30" t="str"/>
      <x:c r="J250" s="30" t="str">
        <x:v>http://www.airfacilitypty.com</x:v>
      </x:c>
      <x:c r="K250" s="35" t="n">
        <x:f>ROUND((IF(H250="已验证有效",40,IF(V250&lt;&gt;"",20,0))+IF(ISNUMBER(SEARCH("状态1",Y250)),25,0)+IF(J250&lt;&gt;"",20,0)+IF(AA250&lt;&gt;"",15,0))/100,2)</x:f>
        <x:v>0.6</x:v>
      </x:c>
      <x:c r="L250" s="30" t="str">
        <x:v>待联系</x:v>
      </x:c>
      <x:c r="M250" s="30" t="str"/>
      <x:c r="N250" s="30" t="str">
        <x:v>calle 1era, el carmen, atras de la caja de ahorros de via espa�a entrando por la calle de eterna plaque, chalet #137.</x:v>
      </x:c>
      <x:c r="O250" s="30" t="str"/>
      <x:c r="P250" s="30" t="str">
        <x:v>暂无经营范围信息</x:v>
      </x:c>
      <x:c r="Q250" s="32" t="n">
        <x:v>1</x:v>
      </x:c>
      <x:c r="R250" s="32" t="n">
        <x:v>9518</x:v>
      </x:c>
      <x:c r="S250" s="33" t="n">
        <x:v>0.0001</x:v>
      </x:c>
      <x:c r="T250" s="34" t="n">
        <x:v>45663.666666666664</x:v>
      </x:c>
      <x:c r="U250" s="30" t="str">
        <x:v>jear@airfacilitypty.com</x:v>
      </x:c>
      <x:c r="V250" s="30" t="str"/>
      <x:c r="W250" s="30" t="str"/>
      <x:c r="X250" s="30" t="str"/>
      <x:c r="Y250" s="30" t="str"/>
      <x:c r="Z250" s="30" t="str"/>
      <x:c r="AA250" s="30" t="str"/>
      <x:c r="AB250" s="30" t="str"/>
      <x:c r="AC250" s="30" t="str">
        <x:v>jear@airfacilitypty.com:1</x:v>
      </x:c>
      <x:c r="AD250" s="30" t="str">
        <x:v>Hair Brush</x:v>
      </x:c>
      <x:c r="AE250" s="30" t="str">
        <x:v>Hair brush</x:v>
      </x:c>
      <x:c r="AF250" s="30" t="str">
        <x:v>CEPILLO PARA CABELLO, REF.: 2325</x:v>
      </x:c>
      <x:c r="AG250" s="30" t="str">
        <x:v>Hair comb；Scalp brush；Styling brush；Paddle brush；Round brush</x:v>
      </x:c>
      <x:c r="AH250" s="30" t="str">
        <x:v>塑料；Wood；Bristles；Nylon；金属</x:v>
      </x:c>
      <x:c r="AI250" s="30" t="str">
        <x:v>Salon；Beauty store；Online retailer；Department store；Drugstore</x:v>
      </x:c>
      <x:c r="AJ250" s="30" t="str">
        <x:v>刷子</x:v>
      </x:c>
      <x:c r="AK250" s="30" t="str">
        <x:v>expansion-search-brush-page-05</x:v>
      </x:c>
      <x:c r="AL250" s="30" t="str">
        <x:v>UpKuajing customs company contact API</x:v>
      </x:c>
      <x:c r="AM250" s="30" t="str"/>
      <x:c r="AN250" s="30" t="str"/>
      <x:c r="AO250" s="34" t="n">
        <x:v>46220</x:v>
      </x:c>
    </x:row>
    <x:row r="251" ht="44" customHeight="1">
      <x:c r="A251" s="30" t="str">
        <x:v>API联系方式已获取</x:v>
      </x:c>
      <x:c r="B251" s="30" t="str">
        <x:v>常规-全球</x:v>
      </x:c>
      <x:c r="C251" s="30" t="str">
        <x:v>油漆刷</x:v>
      </x:c>
      <x:c r="D251" s="31" t="str">
        <x:v>20221464</x:v>
      </x:c>
      <x:c r="E251" s="30" t="str">
        <x:v>ALLEGRO BEVERAGE CORPORATION</x:v>
      </x:c>
      <x:c r="F251" s="30" t="str">
        <x:v>待补充中文（PH）</x:v>
      </x:c>
      <x:c r="G251" s="30" t="str">
        <x:v>cebu@allegrobeverage.com</x:v>
      </x:c>
      <x:c r="H251" s="30" t="str">
        <x:f>IF(ISNUMBER(SEARCH(":1",AC251)),"已验证有效",IF(ISNUMBER(SEARCH(":3",AC251)),"验证不确定",IF(ISNUMBER(SEARCH(":0",AC251)),"接口未能检测",IF(ISNUMBER(SEARCH(":2",AC251)),"判定无效",IF(V251&lt;&gt;"","官网已确认-未验证","无邮箱")))))</x:f>
        <x:v>已验证有效</x:v>
      </x:c>
      <x:c r="I251" s="30" t="str">
        <x:v>6328333085</x:v>
      </x:c>
      <x:c r="J251" s="30" t="str">
        <x:v>www.allegrobeverage.com/about</x:v>
      </x:c>
      <x:c r="K251" s="35" t="n">
        <x:f>ROUND((IF(H251="已验证有效",40,IF(V251&lt;&gt;"",20,0))+IF(ISNUMBER(SEARCH("状态1",Y251)),25,0)+IF(J251&lt;&gt;"",20,0)+IF(AA251&lt;&gt;"",15,0))/100,2)</x:f>
        <x:v>0.75</x:v>
      </x:c>
      <x:c r="L251" s="30" t="str">
        <x:v>待联系</x:v>
      </x:c>
      <x:c r="M251" s="30" t="str"/>
      <x:c r="N251" s="30" t="str">
        <x:v>3803 DAYAP STREET CORNER CUENCA STREETS, PALANAN VILLAGE "</x:v>
      </x:c>
      <x:c r="O251" s="30" t="str"/>
      <x:c r="P251" s="30" t="str">
        <x:v>暂无经营范围信息</x:v>
      </x:c>
      <x:c r="Q251" s="32" t="n">
        <x:v>1</x:v>
      </x:c>
      <x:c r="R251" s="32" t="n">
        <x:v>3270</x:v>
      </x:c>
      <x:c r="S251" s="33" t="n">
        <x:v>0.0003</x:v>
      </x:c>
      <x:c r="T251" s="34" t="n">
        <x:v>45581.666666666664</x:v>
      </x:c>
      <x:c r="U251" s="30" t="str">
        <x:v>cebu@allegrobeverage.com; davao@allegrobeverage.com; pampanga@allegrobeverage.com; user@domain.com</x:v>
      </x:c>
      <x:c r="V251" s="30" t="str"/>
      <x:c r="W251" s="30" t="str">
        <x:v>6328333085</x:v>
      </x:c>
      <x:c r="X251" s="30" t="str"/>
      <x:c r="Y251" s="30" t="str">
        <x:v>6328333085:状态2/类型0/WhatsApp2</x:v>
      </x:c>
      <x:c r="Z251" s="30" t="str"/>
      <x:c r="AA251" s="30" t="str">
        <x:v>https://www.facebook.com/allegrobeverage; https://www.instagram.com/allegrobeverage</x:v>
      </x:c>
      <x:c r="AB251" s="30" t="str"/>
      <x:c r="AC251" s="30" t="str">
        <x:v>cebu@allegrobeverage.com:1; davao@allegrobeverage.com:1; pampanga@allegrobeverage.com:1; user@domain.com:1</x:v>
      </x:c>
      <x:c r="AD251" s="30" t="str">
        <x:v>油漆刷</x:v>
      </x:c>
      <x:c r="AE251" s="30" t="str">
        <x:v>Paint；刷子</x:v>
      </x:c>
      <x:c r="AF251" s="30" t="str">
        <x:v>PAINT BRUSH 25MM (10 PCS) BRAND: FRANKE</x:v>
      </x:c>
      <x:c r="AG251" s="30" t="str">
        <x:v>油漆刷；Artist Brush；Decorative Brush；Coating Brush；Wall Brush</x:v>
      </x:c>
      <x:c r="AH251" s="30" t="str">
        <x:v>Wood；塑料；Bristle；Fiber；金属</x:v>
      </x:c>
      <x:c r="AI251" s="30" t="str">
        <x:v>Wall Painting；Furniture Painting；Automobile Painting；Artwork Creation；Crafts Decoration</x:v>
      </x:c>
      <x:c r="AJ251" s="30" t="str">
        <x:v>油漆刷</x:v>
      </x:c>
      <x:c r="AK251" s="30" t="str">
        <x:v>expansion-search-paint-brush-page-02</x:v>
      </x:c>
      <x:c r="AL251" s="30" t="str">
        <x:v>UpKuajing customs company contact API</x:v>
      </x:c>
      <x:c r="AM251" s="30" t="str"/>
      <x:c r="AN251" s="30" t="str"/>
      <x:c r="AO251" s="34" t="n">
        <x:v>46220</x:v>
      </x:c>
    </x:row>
    <x:row r="252" ht="44" customHeight="1">
      <x:c r="A252" s="30" t="str">
        <x:v>API联系方式已获取</x:v>
      </x:c>
      <x:c r="B252" s="30" t="str">
        <x:v>常规-全球</x:v>
      </x:c>
      <x:c r="C252" s="30" t="str">
        <x:v>刷子</x:v>
      </x:c>
      <x:c r="D252" s="31" t="str">
        <x:v>20443266</x:v>
      </x:c>
      <x:c r="E252" s="30" t="str">
        <x:v>ALLIED ENGINEERING &amp; SERVICES (PVT.) LIMITED</x:v>
      </x:c>
      <x:c r="F252" s="30" t="str">
        <x:v>巴基斯坦</x:v>
      </x:c>
      <x:c r="G252" s="30" t="str">
        <x:v>admin@aesl.com.pk</x:v>
      </x:c>
      <x:c r="H252" s="30" t="str">
        <x:f>IF(ISNUMBER(SEARCH(":1",AC252)),"已验证有效",IF(ISNUMBER(SEARCH(":3",AC252)),"验证不确定",IF(ISNUMBER(SEARCH(":0",AC252)),"接口未能检测",IF(ISNUMBER(SEARCH(":2",AC252)),"判定无效",IF(V252&lt;&gt;"","官网已确认-未验证","无邮箱")))))</x:f>
        <x:v>已验证有效</x:v>
      </x:c>
      <x:c r="I252" s="30" t="str">
        <x:v>+92 21 35066901</x:v>
      </x:c>
      <x:c r="J252" s="30" t="str">
        <x:v>www.aesl.com.pk</x:v>
      </x:c>
      <x:c r="K252" s="35" t="n">
        <x:f>ROUND((IF(H252="已验证有效",40,IF(V252&lt;&gt;"",20,0))+IF(ISNUMBER(SEARCH("状态1",Y252)),25,0)+IF(J252&lt;&gt;"",20,0)+IF(AA252&lt;&gt;"",15,0))/100,2)</x:f>
        <x:v>1</x:v>
      </x:c>
      <x:c r="L252" s="30" t="str">
        <x:v>待联系</x:v>
      </x:c>
      <x:c r="M252" s="30" t="str"/>
      <x:c r="N252" s="30" t="str">
        <x:v>21/3, SECTOR NO. 22, KORANGI INDUSTRIAL AREA, KARACHI</x:v>
      </x:c>
      <x:c r="O252" s="30" t="str"/>
      <x:c r="P252" s="30" t="str">
        <x:v>暂无经营范围信息</x:v>
      </x:c>
      <x:c r="Q252" s="32" t="n">
        <x:v>1</x:v>
      </x:c>
      <x:c r="R252" s="32" t="n">
        <x:v>35103</x:v>
      </x:c>
      <x:c r="S252" s="33" t="n">
        <x:v>0</x:v>
      </x:c>
      <x:c r="T252" s="34" t="n">
        <x:v>45709.666666666664</x:v>
      </x:c>
      <x:c r="U252" s="30" t="str">
        <x:v>admin@aesl.com.pk</x:v>
      </x:c>
      <x:c r="V252" s="30" t="str"/>
      <x:c r="W252" s="30" t="str">
        <x:v>+92 21 35066901</x:v>
      </x:c>
      <x:c r="X252" s="30" t="str"/>
      <x:c r="Y252" s="30" t="str">
        <x:v>+92 21 35066901:状态1/类型1/WhatsApp2</x:v>
      </x:c>
      <x:c r="Z252" s="30" t="str"/>
      <x:c r="AA252" s="30" t="str">
        <x:v>https://www.facebook.com/Allied-Engineering-Services-Pvt-Ltd-386518831363373/?ref=br_rs; https://www.linkedin.com/company/alliedengineering; https://twitter.com/Allied_Cat; https://www.youtube.com/channel/UCc6CQuekZGRdbCqfL_ZdjCA</x:v>
      </x:c>
      <x:c r="AB252" s="30" t="str"/>
      <x:c r="AC252" s="30" t="str">
        <x:v>admin@aesl.com.pk:1</x:v>
      </x:c>
      <x:c r="AD252" s="30" t="str">
        <x:v>刷子</x:v>
      </x:c>
      <x:c r="AE252" s="30" t="str">
        <x:v>刷子；Spare parts；CATERPILLAR</x:v>
      </x:c>
      <x:c r="AF252" s="30" t="str">
        <x:v>BRUSH A PART NO.3T9524  (BRAND CATERPILLAR SPARE PARTS)  (QTY. 20)  (QUANTITY DECLARED IN NOS)</x:v>
      </x:c>
      <x:c r="AG252" s="30" t="str">
        <x:v>Scrubber；Broom；Duster；Wiper；Cleaning brush</x:v>
      </x:c>
      <x:c r="AH252" s="30" t="str">
        <x:v>塑料；金属；Fiber；Wood；橡胶</x:v>
      </x:c>
      <x:c r="AI252" s="30" t="str">
        <x:v>Automotive；Industrial equipment；Household appliances；Machinery；建筑施工</x:v>
      </x:c>
      <x:c r="AJ252" s="30" t="str">
        <x:v>刷子</x:v>
      </x:c>
      <x:c r="AK252" s="30" t="str">
        <x:v>expansion-search-brush-page-07</x:v>
      </x:c>
      <x:c r="AL252" s="30" t="str">
        <x:v>UpKuajing customs company contact API</x:v>
      </x:c>
      <x:c r="AM252" s="30" t="str"/>
      <x:c r="AN252" s="30" t="str"/>
      <x:c r="AO252" s="34" t="n">
        <x:v>46220</x:v>
      </x:c>
    </x:row>
    <x:row r="253" ht="44" customHeight="1">
      <x:c r="A253" s="30" t="str">
        <x:v>API联系方式已获取</x:v>
      </x:c>
      <x:c r="B253" s="30" t="str">
        <x:v>常规-全球</x:v>
      </x:c>
      <x:c r="C253" s="30" t="str">
        <x:v>刷子</x:v>
      </x:c>
      <x:c r="D253" s="31" t="str">
        <x:v>20455714</x:v>
      </x:c>
      <x:c r="E253" s="30" t="str">
        <x:v>AMIRAN KENYA LIMITED</x:v>
      </x:c>
      <x:c r="F253" s="30" t="str">
        <x:v>肯尼亚</x:v>
      </x:c>
      <x:c r="G253" s="30" t="str">
        <x:v>accounts@amirankenya.compr@amirankenya.com</x:v>
      </x:c>
      <x:c r="H253" s="30" t="str">
        <x:f>IF(ISNUMBER(SEARCH(":1",AC253)),"已验证有效",IF(ISNUMBER(SEARCH(":3",AC253)),"验证不确定",IF(ISNUMBER(SEARCH(":0",AC253)),"接口未能检测",IF(ISNUMBER(SEARCH(":2",AC253)),"判定无效",IF(V253&lt;&gt;"","官网已确认-未验证","无邮箱")))))</x:f>
        <x:v>接口未能检测</x:v>
      </x:c>
      <x:c r="I253" s="30" t="str">
        <x:v>+254 719 095000</x:v>
      </x:c>
      <x:c r="J253" s="30" t="str">
        <x:v>www.baltoncp.com/amirankenya</x:v>
      </x:c>
      <x:c r="K253" s="35" t="n">
        <x:f>ROUND((IF(H253="已验证有效",40,IF(V253&lt;&gt;"",20,0))+IF(ISNUMBER(SEARCH("状态1",Y253)),25,0)+IF(J253&lt;&gt;"",20,0)+IF(AA253&lt;&gt;"",15,0))/100,2)</x:f>
        <x:v>0.6</x:v>
      </x:c>
      <x:c r="L253" s="30" t="str">
        <x:v>待联系</x:v>
      </x:c>
      <x:c r="M253" s="30" t="str"/>
      <x:c r="N253" s="30" t="str">
        <x:v>PLOT L.R NO.7158/602 ,  KALAMU HOUSE ,  GREVILLEA GROVE</x:v>
      </x:c>
      <x:c r="O253" s="30" t="str"/>
      <x:c r="P253" s="30" t="str">
        <x:v>园艺花卉、电信、水净化、太阳能和发电机等所有领域的完整解决方案</x:v>
      </x:c>
      <x:c r="Q253" s="32" t="n">
        <x:v>1</x:v>
      </x:c>
      <x:c r="R253" s="32" t="n">
        <x:v>1330</x:v>
      </x:c>
      <x:c r="S253" s="33" t="n">
        <x:v>0.0008</x:v>
      </x:c>
      <x:c r="T253" s="34" t="n">
        <x:v>45755.666666666664</x:v>
      </x:c>
      <x:c r="U253" s="30" t="str">
        <x:v>accounts@amirankenya.compr@amirankenya.com</x:v>
      </x:c>
      <x:c r="V253" s="30" t="str"/>
      <x:c r="W253" s="30" t="str">
        <x:v>+254 719 095000</x:v>
      </x:c>
      <x:c r="X253" s="30" t="str"/>
      <x:c r="Y253" s="30" t="str">
        <x:v>+254 719 095000:状态1/类型2/WhatsApp2</x:v>
      </x:c>
      <x:c r="Z253" s="30" t="str"/>
      <x:c r="AA253" s="30" t="str">
        <x:v>https://www.linkedin.com/company/baltoncp; https://twitter.com/BaltonCPGroup</x:v>
      </x:c>
      <x:c r="AB253" s="30" t="str"/>
      <x:c r="AC253" s="30" t="str">
        <x:v>accounts@amirankenya.compr@amirankenya.com:0</x:v>
      </x:c>
      <x:c r="AD253" s="30" t="str">
        <x:v>Door Brush</x:v>
      </x:c>
      <x:c r="AE253" s="30" t="str">
        <x:v>Door Brush；PP；Monofilament；Plastics</x:v>
      </x:c>
      <x:c r="AF253" s="30" t="str">
        <x:v>DOOR BRUSH h=45mm; AGROTEM PRO LTD; PP; 2; DOOR BRUSH H=45MM; 15.51; 0; MONOFILAMENT OF WHICH ANY CROSS-SECTIONAL DIMENSION EXCEEDS 1MM, RODS, STICKS AND PROFILE SHAPES, WHETHER OR NOT SURFACE WORKED BUT NOT OTHERWISE WORKED, OF OTHER PLASTICS.</x:v>
      </x:c>
      <x:c r="AG253" s="30" t="str">
        <x:v>Door Sweep；Door Seal Brush；Door Edge Brush；Door Brush Strip；Door Brush Seal</x:v>
      </x:c>
      <x:c r="AH253" s="30" t="str">
        <x:v>Polypropylene Resin；塑料原料；化学添加剂；Filler；着色剂</x:v>
      </x:c>
      <x:c r="AI253" s="30" t="str">
        <x:v>Residential Doors；Commercial Doors；Industrial Doors；Garage Doors；Cabinet Doors</x:v>
      </x:c>
      <x:c r="AJ253" s="30" t="str">
        <x:v>刷子</x:v>
      </x:c>
      <x:c r="AK253" s="30" t="str">
        <x:v>expansion-search-brush-page-09</x:v>
      </x:c>
      <x:c r="AL253" s="30" t="str">
        <x:v>UpKuajing customs company contact API</x:v>
      </x:c>
      <x:c r="AM253" s="30" t="str"/>
      <x:c r="AN253" s="30" t="str"/>
      <x:c r="AO253" s="34" t="n">
        <x:v>46220</x:v>
      </x:c>
    </x:row>
    <x:row r="254" ht="44" customHeight="1">
      <x:c r="A254" s="30" t="str">
        <x:v>API联系方式已获取</x:v>
      </x:c>
      <x:c r="B254" s="30" t="str">
        <x:v>常规-全球</x:v>
      </x:c>
      <x:c r="C254" s="30" t="str">
        <x:v>油漆刷</x:v>
      </x:c>
      <x:c r="D254" s="31" t="str">
        <x:v>20208432</x:v>
      </x:c>
      <x:c r="E254" s="30" t="str">
        <x:v>BARBUY TEAM S A</x:v>
      </x:c>
      <x:c r="F254" s="30" t="str">
        <x:v>阿根廷</x:v>
      </x:c>
      <x:c r="G254" s="30" t="str">
        <x:v>ventas@btatools.com</x:v>
      </x:c>
      <x:c r="H254" s="30" t="str">
        <x:f>IF(ISNUMBER(SEARCH(":1",AC254)),"已验证有效",IF(ISNUMBER(SEARCH(":3",AC254)),"验证不确定",IF(ISNUMBER(SEARCH(":0",AC254)),"接口未能检测",IF(ISNUMBER(SEARCH(":2",AC254)),"判定无效",IF(V254&lt;&gt;"","官网已确认-未验证","无邮箱")))))</x:f>
        <x:v>已验证有效</x:v>
      </x:c>
      <x:c r="I254" s="30" t="str">
        <x:v>+54 3537 42-7677</x:v>
      </x:c>
      <x:c r="J254" s="30" t="str">
        <x:v>www.btatools.com.ar</x:v>
      </x:c>
      <x:c r="K254" s="35" t="n">
        <x:f>ROUND((IF(H254="已验证有效",40,IF(V254&lt;&gt;"",20,0))+IF(ISNUMBER(SEARCH("状态1",Y254)),25,0)+IF(J254&lt;&gt;"",20,0)+IF(AA254&lt;&gt;"",15,0))/100,2)</x:f>
        <x:v>1</x:v>
      </x:c>
      <x:c r="L254" s="30" t="str">
        <x:v>待联系</x:v>
      </x:c>
      <x:c r="M254" s="30" t="str"/>
      <x:c r="N254" s="30" t="str">
        <x:v>CORDOBA BELL VILLE RUTA NRO 9 KM 501 0 00 000</x:v>
      </x:c>
      <x:c r="O254" s="30" t="str"/>
      <x:c r="P254" s="30" t="str">
        <x:v>配件，粘合剂密封剂，气刷，磨床，索具，真空，螺丝刀，磁性底座，燃料罐，钻头，泵，车辆支架，加热器，挂锁，刨花，金属刷，金属3功能组合，组合木工，压缩机，快速耦合器连接器</x:v>
      </x:c>
      <x:c r="Q254" s="32" t="n">
        <x:v>1</x:v>
      </x:c>
      <x:c r="R254" s="32" t="n">
        <x:v>18047</x:v>
      </x:c>
      <x:c r="S254" s="33" t="n">
        <x:v>0.0001</x:v>
      </x:c>
      <x:c r="T254" s="34" t="n">
        <x:v>45792.666666666664</x:v>
      </x:c>
      <x:c r="U254" s="30" t="str">
        <x:v>ventas@btatools.com</x:v>
      </x:c>
      <x:c r="V254" s="30" t="str"/>
      <x:c r="W254" s="30" t="str">
        <x:v>+54 3537 42-7677</x:v>
      </x:c>
      <x:c r="X254" s="30" t="str"/>
      <x:c r="Y254" s="30" t="str">
        <x:v>+54 3537 42-7677:状态1/类型1/WhatsApp2</x:v>
      </x:c>
      <x:c r="Z254" s="30" t="str"/>
      <x:c r="AA254" s="30" t="str">
        <x:v>https://www.facebook.com/BtaHerramientas; https://www.instagram.com/p/CcVfL0LsuHt; https://www.instagram.com/p/Czv7gbGN9ay; https://www.youtube.com/channel/UCsr0D257712-6M_bqG7w-sw</x:v>
      </x:c>
      <x:c r="AB254" s="30" t="str"/>
      <x:c r="AC254" s="30" t="str">
        <x:v>ventas@btatools.com:1</x:v>
      </x:c>
      <x:c r="AD254" s="30" t="str">
        <x:v>Steel Wire Brushes；Brooms；Scrubbers；刷子；油漆刷</x:v>
      </x:c>
      <x:c r="AE254" s="30" t="str">
        <x:v>Steel；刷子；Brooms；Scrubbers；油漆刷</x:v>
      </x:c>
      <x:c r="AF254" s="30" t="str">
        <x:v>DE DIAMETRO EXTERIOR INFERIOR O IGUAL A 75 MM. ONDULADOS, INCLUSO REVESTIDOS, DE FORMA DE COPA O CONICO. DE ALAMBRE DE ACERO. LOS DEMAS CEPILLOS QUE CONSTITUYAN PARTES DE MAQUINAS, APARATOS O VEHICULOS. ESCOBAS Y ESCOBILLAS, CEPILLOS, BROCHAS Y PINCEL...</x:v>
      </x:c>
      <x:c r="AG254" s="30" t="str">
        <x:v>Wire Brush；Cleaning Brush；Scrub Brush；油漆刷；Broom</x:v>
      </x:c>
      <x:c r="AH254" s="30" t="str">
        <x:v>Steel Wire；塑料；Wood；Bristles；Paint</x:v>
      </x:c>
      <x:c r="AI254" s="30" t="str">
        <x:v>Household Cleaning；Industrial Cleaning；建筑施工；Automotive；Art</x:v>
      </x:c>
      <x:c r="AJ254" s="30" t="str">
        <x:v>油漆刷</x:v>
      </x:c>
      <x:c r="AK254" s="30" t="str">
        <x:v>expansion-search-paint-brush-page-02</x:v>
      </x:c>
      <x:c r="AL254" s="30" t="str">
        <x:v>UpKuajing customs company contact API</x:v>
      </x:c>
      <x:c r="AM254" s="30" t="str"/>
      <x:c r="AN254" s="30" t="str"/>
      <x:c r="AO254" s="34" t="n">
        <x:v>46220</x:v>
      </x:c>
    </x:row>
    <x:row r="255" ht="44" customHeight="1">
      <x:c r="A255" s="30" t="str">
        <x:v>API联系方式已获取</x:v>
      </x:c>
      <x:c r="B255" s="30" t="str">
        <x:v>常规-全球</x:v>
      </x:c>
      <x:c r="C255" s="30" t="str">
        <x:v>羊毛刷</x:v>
      </x:c>
      <x:c r="D255" s="31" t="str">
        <x:v>174847</x:v>
      </x:c>
      <x:c r="E255" s="30" t="str">
        <x:v>công ty cổ phần vinh nam</x:v>
      </x:c>
      <x:c r="F255" s="30" t="str">
        <x:v>越南</x:v>
      </x:c>
      <x:c r="G255" s="30" t="str">
        <x:v>hiendt@vam.vn</x:v>
      </x:c>
      <x:c r="H255" s="30" t="str">
        <x:f>IF(ISNUMBER(SEARCH(":1",AC255)),"已验证有效",IF(ISNUMBER(SEARCH(":3",AC255)),"验证不确定",IF(ISNUMBER(SEARCH(":0",AC255)),"接口未能检测",IF(ISNUMBER(SEARCH(":2",AC255)),"判定无效",IF(V255&lt;&gt;"","官网已确认-未验证","无邮箱")))))</x:f>
        <x:v>已验证有效</x:v>
      </x:c>
      <x:c r="I255" s="30" t="str">
        <x:v>+84 28 3816 1956</x:v>
      </x:c>
      <x:c r="J255" s="30" t="str">
        <x:v>http://www.vam.vn</x:v>
      </x:c>
      <x:c r="K255" s="35" t="n">
        <x:f>ROUND((IF(H255="已验证有效",40,IF(V255&lt;&gt;"",20,0))+IF(ISNUMBER(SEARCH("状态1",Y255)),25,0)+IF(J255&lt;&gt;"",20,0)+IF(AA255&lt;&gt;"",15,0))/100,2)</x:f>
        <x:v>0.85</x:v>
      </x:c>
      <x:c r="L255" s="30" t="str">
        <x:v>待联系</x:v>
      </x:c>
      <x:c r="M255" s="30" t="str"/>
      <x:c r="N255" s="30" t="str">
        <x:v>lô ii-3, đờng 13, nhóm cn 2, khu công nghiệp tân bình, p. tây thạnh, q. tân phú,tp. hồ chí minh (tphcm)</x:v>
      </x:c>
      <x:c r="O255" s="30" t="str"/>
      <x:c r="P255" s="30" t="str">
        <x:v>数控面板、线圈、空气过滤器、干燥机、丙烯酸树脂、闸门、止回阀、硫化橡胶手套、机械、汞合金铅、帽子、频闪仪、喷射投影机、连接器、机器人、泛光灯、油泵、救生衣、塑料管、不锈钢</x:v>
      </x:c>
      <x:c r="Q255" s="32" t="n">
        <x:v>1</x:v>
      </x:c>
      <x:c r="R255" s="32" t="n">
        <x:v>2470</x:v>
      </x:c>
      <x:c r="S255" s="33" t="n">
        <x:v>0.0004</x:v>
      </x:c>
      <x:c r="T255" s="34" t="n">
        <x:v>45824.666666666664</x:v>
      </x:c>
      <x:c r="U255" s="30" t="str">
        <x:v>hiendt@vam.vn; hungnd@vam.vn; info@vam.vn; lanlt@vam.vn; projects@vam.vn; tramnb@vam.vn</x:v>
      </x:c>
      <x:c r="V255" s="30" t="str"/>
      <x:c r="W255" s="30" t="str">
        <x:v>+84 28 3816 1956; 8428381659; +84 28 3816 5955; +84 399 212 783; 84838161956; +84 972 491 204; +84 979 717 918</x:v>
      </x:c>
      <x:c r="X255" s="30" t="str"/>
      <x:c r="Y255" s="30" t="str">
        <x:v>+84 28 3816 1956:状态1/类型1/WhatsApp2; 8428381659:状态2/类型0/WhatsApp2; +84 28 3816 5955:状态1/类型1/WhatsApp2; +84 399 212 783:状态1/类型2/WhatsApp1; 84838161956:状态2/类型0/WhatsApp2; +84 972 491 204:状态1/类型2/WhatsApp1; +84 979 717 918:状态1/类型2/WhatsApp2</x:v>
      </x:c>
      <x:c r="Z255" s="30" t="str">
        <x:v>+84 399 212 783; +84 972 491 204</x:v>
      </x:c>
      <x:c r="AA255" s="30" t="str"/>
      <x:c r="AB255" s="30" t="str"/>
      <x:c r="AC255" s="30" t="str">
        <x:v>hiendt@vam.vn:1; hungnd@vam.vn:1; info@vam.vn:1; lanlt@vam.vn:1; projects@vam.vn:1; tramnb@vam.vn:1</x:v>
      </x:c>
      <x:c r="AD255" s="30" t="str">
        <x:v>Steel Wool Brush；Steel Bolt Strap</x:v>
      </x:c>
      <x:c r="AE255" s="30" t="str">
        <x:v>Steel；刷子；Strap；Cleaning；Fastening</x:v>
      </x:c>
      <x:c r="AF255" s="30" t="str">
        <x:v>Bộ Bu lông và đai ốc bằng thép, đường kính 1 1/2'', Nhà sản xuất: Weatherford. Hàng mới 100%.</x:v>
      </x:c>
      <x:c r="AG255" s="30" t="str">
        <x:v>Steel Cleaning Brush；Steel Fixing Strap；Wire Brush；Metal Strap；Steel Scrubber</x:v>
      </x:c>
      <x:c r="AH255" s="30" t="str">
        <x:v>Iron Ore；Carbon；Alloying Elements；Steel Billets；Steel Bars</x:v>
      </x:c>
      <x:c r="AI255" s="30" t="str">
        <x:v>Automotive Industry；Construction Industry；Manufacturing Industry；Home Cleaning；Machinery Maintenance</x:v>
      </x:c>
      <x:c r="AJ255" s="30" t="str">
        <x:v>羊毛刷</x:v>
      </x:c>
      <x:c r="AK255" s="30" t="str">
        <x:v>expansion-search-wool-brush-page-02</x:v>
      </x:c>
      <x:c r="AL255" s="30" t="str">
        <x:v>UpKuajing customs company contact API</x:v>
      </x:c>
      <x:c r="AM255" s="30" t="str"/>
      <x:c r="AN255" s="30" t="str"/>
      <x:c r="AO255" s="34" t="n">
        <x:v>46220</x:v>
      </x:c>
    </x:row>
    <x:row r="256" ht="44" customHeight="1">
      <x:c r="A256" s="30" t="str">
        <x:v>API联系方式已获取</x:v>
      </x:c>
      <x:c r="B256" s="30" t="str">
        <x:v>常规-全球</x:v>
      </x:c>
      <x:c r="C256" s="30" t="str">
        <x:v>羊毛刷</x:v>
      </x:c>
      <x:c r="D256" s="31" t="str">
        <x:v>181550</x:v>
      </x:c>
      <x:c r="E256" s="30" t="str">
        <x:v>công ty cổ phần vật tư thiết bị công trình minh đức</x:v>
      </x:c>
      <x:c r="F256" s="30" t="str">
        <x:v>越南</x:v>
      </x:c>
      <x:c r="G256" s="30" t="str">
        <x:v>mdcdung@gmail.com</x:v>
      </x:c>
      <x:c r="H256" s="30" t="str">
        <x:f>IF(ISNUMBER(SEARCH(":1",AC256)),"已验证有效",IF(ISNUMBER(SEARCH(":3",AC256)),"验证不确定",IF(ISNUMBER(SEARCH(":0",AC256)),"接口未能检测",IF(ISNUMBER(SEARCH(":2",AC256)),"判定无效",IF(V256&lt;&gt;"","官网已确认-未验证","无邮箱")))))</x:f>
        <x:v>已验证有效</x:v>
      </x:c>
      <x:c r="I256" s="30" t="str"/>
      <x:c r="J256" s="30" t="str">
        <x:v>http://www.minhduccomec.com.vn</x:v>
      </x:c>
      <x:c r="K256" s="35" t="n">
        <x:f>ROUND((IF(H256="已验证有效",40,IF(V256&lt;&gt;"",20,0))+IF(ISNUMBER(SEARCH("状态1",Y256)),25,0)+IF(J256&lt;&gt;"",20,0)+IF(AA256&lt;&gt;"",15,0))/100,2)</x:f>
        <x:v>0.6</x:v>
      </x:c>
      <x:c r="L256" s="30" t="str">
        <x:v>待联系</x:v>
      </x:c>
      <x:c r="M256" s="30" t="str"/>
      <x:c r="N256" s="30" t="str">
        <x:v>c10 bt5 kđt việt hưng, long biên,hà nội</x:v>
      </x:c>
      <x:c r="O256" s="30" t="str"/>
      <x:c r="P256" s="30" t="str">
        <x:v>钢件、弹簧、不锈钢拉索、轨道车辆、座椅、金属电动万能试验机、工业钢材、不锈钢带、塑料、钢管、螺钉、不锈钢方管、纸张、钢管、型钢、丁苯橡胶、再生橡胶、螺栓、螺钉</x:v>
      </x:c>
      <x:c r="Q256" s="32" t="n">
        <x:v>1</x:v>
      </x:c>
      <x:c r="R256" s="32" t="n">
        <x:v>4450</x:v>
      </x:c>
      <x:c r="S256" s="33" t="n">
        <x:v>0.0002</x:v>
      </x:c>
      <x:c r="T256" s="34" t="n">
        <x:v>45922.666666666664</x:v>
      </x:c>
      <x:c r="U256" s="30" t="str">
        <x:v>mdcdung@gmail.com</x:v>
      </x:c>
      <x:c r="V256" s="30" t="str"/>
      <x:c r="W256" s="30" t="str"/>
      <x:c r="X256" s="30" t="str"/>
      <x:c r="Y256" s="30" t="str"/>
      <x:c r="Z256" s="30" t="str"/>
      <x:c r="AA256" s="30" t="str"/>
      <x:c r="AB256" s="30" t="str"/>
      <x:c r="AC256" s="30" t="str">
        <x:v>mdcdung@gmail.com:1</x:v>
      </x:c>
      <x:c r="AD256" s="30" t="str">
        <x:v>Steel wool brush</x:v>
      </x:c>
      <x:c r="AE256" s="30" t="str">
        <x:v>Steel wool brush；Steel；High strength</x:v>
      </x:c>
      <x:c r="AF256" s="30" t="str">
        <x:v>Bu lông thép đã ren, đường kính 25mm, phụ kiện đi kèm thanh thép cường độ cao, hàng mới 100%</x:v>
      </x:c>
      <x:c r="AG256" s="30" t="str">
        <x:v>Wire brush；Steel brush；Scouring brush；Cleaning brush；Metal brush</x:v>
      </x:c>
      <x:c r="AH256" s="30" t="str">
        <x:v>Steel；Iron ore；Carbon；Alloying elements；Minerals</x:v>
      </x:c>
      <x:c r="AI256" s="30" t="str">
        <x:v>Automotive industry；Metalworking；Woodworking；Home cleaning；Industrial maintenance</x:v>
      </x:c>
      <x:c r="AJ256" s="30" t="str">
        <x:v>羊毛刷</x:v>
      </x:c>
      <x:c r="AK256" s="30" t="str">
        <x:v>expansion-search-wool-brush-page-02</x:v>
      </x:c>
      <x:c r="AL256" s="30" t="str">
        <x:v>UpKuajing customs company contact API</x:v>
      </x:c>
      <x:c r="AM256" s="30" t="str"/>
      <x:c r="AN256" s="30" t="str"/>
      <x:c r="AO256" s="34" t="n">
        <x:v>46220</x:v>
      </x:c>
    </x:row>
    <x:row r="257" ht="44" customHeight="1">
      <x:c r="A257" s="30" t="str">
        <x:v>API联系方式已获取</x:v>
      </x:c>
      <x:c r="B257" s="30" t="str">
        <x:v>常规-全球</x:v>
      </x:c>
      <x:c r="C257" s="30" t="str">
        <x:v>胶带</x:v>
      </x:c>
      <x:c r="D257" s="31" t="str">
        <x:v>20432918</x:v>
      </x:c>
      <x:c r="E257" s="30" t="str">
        <x:v>DAETWYLER SWISSTEC INDIA PRIVATE LIMITED</x:v>
      </x:c>
      <x:c r="F257" s="30" t="str">
        <x:v>印度</x:v>
      </x:c>
      <x:c r="G257" s="30" t="str">
        <x:v>sdhotey@daetwyler-swisstec.in</x:v>
      </x:c>
      <x:c r="H257" s="30" t="str">
        <x:f>IF(ISNUMBER(SEARCH(":1",AC257)),"已验证有效",IF(ISNUMBER(SEARCH(":3",AC257)),"验证不确定",IF(ISNUMBER(SEARCH(":0",AC257)),"接口未能检测",IF(ISNUMBER(SEARCH(":2",AC257)),"判定无效",IF(V257&lt;&gt;"","官网已确认-未验证","无邮箱")))))</x:f>
        <x:v>接口未能检测</x:v>
      </x:c>
      <x:c r="I257" s="30" t="str">
        <x:v>+91 98909 46766</x:v>
      </x:c>
      <x:c r="J257" s="30" t="str">
        <x:v>www.in.daetwyler.com</x:v>
      </x:c>
      <x:c r="K257" s="35" t="n">
        <x:f>ROUND((IF(H257="已验证有效",40,IF(V257&lt;&gt;"",20,0))+IF(ISNUMBER(SEARCH("状态1",Y257)),25,0)+IF(J257&lt;&gt;"",20,0)+IF(AA257&lt;&gt;"",15,0))/100,2)</x:f>
        <x:v>0.6</x:v>
      </x:c>
      <x:c r="L257" s="30" t="str">
        <x:v>待联系</x:v>
      </x:c>
      <x:c r="M257" s="30" t="str"/>
      <x:c r="N257" s="30" t="str">
        <x:v>Gut No 262, Lavale Road,</x:v>
      </x:c>
      <x:c r="O257" s="30" t="str"/>
      <x:c r="P257" s="30" t="str">
        <x:v>暂无经营范围信息</x:v>
      </x:c>
      <x:c r="Q257" s="32" t="n">
        <x:v>1</x:v>
      </x:c>
      <x:c r="R257" s="32" t="n">
        <x:v>2220</x:v>
      </x:c>
      <x:c r="S257" s="33" t="n">
        <x:v>0.0005</x:v>
      </x:c>
      <x:c r="T257" s="34" t="n">
        <x:v>45540.666666666664</x:v>
      </x:c>
      <x:c r="U257" s="30" t="str">
        <x:v>sdhotey@daetwyler-swisstec.in</x:v>
      </x:c>
      <x:c r="V257" s="30" t="str"/>
      <x:c r="W257" s="30" t="str">
        <x:v>+91 98909 46766</x:v>
      </x:c>
      <x:c r="X257" s="30" t="str"/>
      <x:c r="Y257" s="30" t="str">
        <x:v>+91 98909 46766:状态1/类型2/WhatsApp1</x:v>
      </x:c>
      <x:c r="Z257" s="30" t="str">
        <x:v>+91 98909 46766</x:v>
      </x:c>
      <x:c r="AA257" s="30" t="str">
        <x:v>https://www.linkedin.com/company/daetwyler-swisstec---india</x:v>
      </x:c>
      <x:c r="AB257" s="30" t="str"/>
      <x:c r="AC257" s="30" t="str">
        <x:v>sdhotey@daetwyler-swisstec.in:0</x:v>
      </x:c>
      <x:c r="AD257" s="30" t="str">
        <x:v>胶粘带</x:v>
      </x:c>
      <x:c r="AE257" s="30" t="str">
        <x:v>胶粘带；PVC；Brown</x:v>
      </x:c>
      <x:c r="AF257" s="30" t="str">
        <x:v>023029 ADHESIVE TAPE PVC BROWN 50MM X 66M ( COO AT ) ( TOTAL QTY 15 ROL AND UNIT PRICE 6.00 CHF PER ROL ) ( PARTS FOR P</x:v>
      </x:c>
      <x:c r="AG257" s="30" t="str">
        <x:v>Sticky Tape；胶带；Adhesive Strip；Bonding Tape；Sealing Tape</x:v>
      </x:c>
      <x:c r="AH257" s="30" t="str">
        <x:v>PVC Resin；胶粘剂；增塑剂；Stabilizer；Pigment</x:v>
      </x:c>
      <x:c r="AI257" s="30" t="str">
        <x:v>包装；手工艺；Repairs；标签制作；Decoration</x:v>
      </x:c>
      <x:c r="AJ257" s="30" t="str">
        <x:v>胶带</x:v>
      </x:c>
      <x:c r="AK257" s="30" t="str">
        <x:v>expansion-search-tape-page-02</x:v>
      </x:c>
      <x:c r="AL257" s="30" t="str">
        <x:v>UpKuajing customs company contact API</x:v>
      </x:c>
      <x:c r="AM257" s="30" t="str"/>
      <x:c r="AN257" s="30" t="str"/>
      <x:c r="AO257" s="34" t="n">
        <x:v>46220</x:v>
      </x:c>
    </x:row>
    <x:row r="258" ht="44" customHeight="1">
      <x:c r="A258" s="30" t="str">
        <x:v>API联系方式已获取</x:v>
      </x:c>
      <x:c r="B258" s="30" t="str">
        <x:v>常规-全球</x:v>
      </x:c>
      <x:c r="C258" s="30" t="str">
        <x:v>羊毛刷</x:v>
      </x:c>
      <x:c r="D258" s="31" t="str">
        <x:v>531852</x:v>
      </x:c>
      <x:c r="E258" s="30" t="str">
        <x:v>deposito dental krobalto c.a.</x:v>
      </x:c>
      <x:c r="F258" s="30" t="str">
        <x:v>厄瓜多尔</x:v>
      </x:c>
      <x:c r="G258" s="30" t="str">
        <x:v>info@krobalto.com</x:v>
      </x:c>
      <x:c r="H258" s="30" t="str">
        <x:f>IF(ISNUMBER(SEARCH(":1",AC258)),"已验证有效",IF(ISNUMBER(SEARCH(":3",AC258)),"验证不确定",IF(ISNUMBER(SEARCH(":0",AC258)),"接口未能检测",IF(ISNUMBER(SEARCH(":2",AC258)),"判定无效",IF(V258&lt;&gt;"","官网已确认-未验证","无邮箱")))))</x:f>
        <x:v>已验证有效</x:v>
      </x:c>
      <x:c r="I258" s="30" t="str"/>
      <x:c r="J258" s="30" t="str">
        <x:v>www.krobalto.com‎</x:v>
      </x:c>
      <x:c r="K258" s="35" t="n">
        <x:f>ROUND((IF(H258="已验证有效",40,IF(V258&lt;&gt;"",20,0))+IF(ISNUMBER(SEARCH("状态1",Y258)),25,0)+IF(J258&lt;&gt;"",20,0)+IF(AA258&lt;&gt;"",15,0))/100,2)</x:f>
        <x:v>0.6</x:v>
      </x:c>
      <x:c r="L258" s="30" t="str">
        <x:v>待联系</x:v>
      </x:c>
      <x:c r="M258" s="30" t="str"/>
      <x:c r="N258" s="30" t="str">
        <x:v>aguirre 611 y boyacá guayaquil guayas</x:v>
      </x:c>
      <x:c r="O258" s="30" t="str"/>
      <x:c r="P258" s="30" t="str">
        <x:v>暂无经营范围信息</x:v>
      </x:c>
      <x:c r="Q258" s="32" t="n">
        <x:v>1</x:v>
      </x:c>
      <x:c r="R258" s="32" t="n">
        <x:v>31392</x:v>
      </x:c>
      <x:c r="S258" s="33" t="n">
        <x:v>0</x:v>
      </x:c>
      <x:c r="T258" s="34" t="n">
        <x:v>45689.666666666664</x:v>
      </x:c>
      <x:c r="U258" s="30" t="str">
        <x:v>info@krobalto.com</x:v>
      </x:c>
      <x:c r="V258" s="30" t="str"/>
      <x:c r="W258" s="30" t="str"/>
      <x:c r="X258" s="30" t="str"/>
      <x:c r="Y258" s="30" t="str"/>
      <x:c r="Z258" s="30" t="str"/>
      <x:c r="AA258" s="30" t="str"/>
      <x:c r="AB258" s="30" t="str"/>
      <x:c r="AC258" s="30" t="str">
        <x:v>info@krobalto.com:1</x:v>
      </x:c>
      <x:c r="AD258" s="30" t="str"/>
      <x:c r="AE258" s="30" t="str"/>
      <x:c r="AF258" s="30" t="str">
        <x:v>1628 CTNS NONWOVEN SPONGE POLYGARD DENTAL BIBSDENTURE BOX LARGESALIVA EJECTOR CLEAR TUBE WITHBLUE TIPSELFSEALING STERILIZATION POUCHPROPHY BRUSHSOFT WOOL BRUSH WITH HANDLEALCOHOL LAMP GLASSMIXING BOWLS LARGECRUCIBLE HORIZONTALCOTTON ROLL DISPENSORGOO</x:v>
      </x:c>
      <x:c r="AG258" s="30" t="str"/>
      <x:c r="AH258" s="30" t="str"/>
      <x:c r="AI258" s="30" t="str"/>
      <x:c r="AJ258" s="30" t="str">
        <x:v>羊毛刷</x:v>
      </x:c>
      <x:c r="AK258" s="30" t="str">
        <x:v>expansion-search-wool-brush-page-03</x:v>
      </x:c>
      <x:c r="AL258" s="30" t="str">
        <x:v>UpKuajing customs company contact API</x:v>
      </x:c>
      <x:c r="AM258" s="30" t="str"/>
      <x:c r="AN258" s="30" t="str"/>
      <x:c r="AO258" s="34" t="n">
        <x:v>46220</x:v>
      </x:c>
    </x:row>
    <x:row r="259" ht="44" customHeight="1">
      <x:c r="A259" s="30" t="str">
        <x:v>API联系方式已获取</x:v>
      </x:c>
      <x:c r="B259" s="30" t="str">
        <x:v>常规-全球</x:v>
      </x:c>
      <x:c r="C259" s="30" t="str">
        <x:v>油漆刷</x:v>
      </x:c>
      <x:c r="D259" s="31" t="str">
        <x:v>20253210</x:v>
      </x:c>
      <x:c r="E259" s="30" t="str">
        <x:v>EBACO INDIA PRIVATE LIMITED</x:v>
      </x:c>
      <x:c r="F259" s="30" t="str">
        <x:v>印度</x:v>
      </x:c>
      <x:c r="G259" s="30" t="str">
        <x:v>mohantya@ebaco.co.in</x:v>
      </x:c>
      <x:c r="H259" s="30" t="str">
        <x:f>IF(ISNUMBER(SEARCH(":1",AC259)),"已验证有效",IF(ISNUMBER(SEARCH(":3",AC259)),"验证不确定",IF(ISNUMBER(SEARCH(":0",AC259)),"接口未能检测",IF(ISNUMBER(SEARCH(":2",AC259)),"判定无效",IF(V259&lt;&gt;"","官网已确认-未验证","无邮箱")))))</x:f>
        <x:v>已验证有效</x:v>
      </x:c>
      <x:c r="I259" s="30" t="str"/>
      <x:c r="J259" s="30" t="str">
        <x:v>ebaco.co.in</x:v>
      </x:c>
      <x:c r="K259" s="35" t="n">
        <x:f>ROUND((IF(H259="已验证有效",40,IF(V259&lt;&gt;"",20,0))+IF(ISNUMBER(SEARCH("状态1",Y259)),25,0)+IF(J259&lt;&gt;"",20,0)+IF(AA259&lt;&gt;"",15,0))/100,2)</x:f>
        <x:v>0.75</x:v>
      </x:c>
      <x:c r="L259" s="30" t="str">
        <x:v>待联系</x:v>
      </x:c>
      <x:c r="M259" s="30" t="str"/>
      <x:c r="N259" s="30" t="str">
        <x:v>57, 4TH FLOOR DEFENCE COLONY , 100 FT ROAD</x:v>
      </x:c>
      <x:c r="O259" s="30" t="str"/>
      <x:c r="P259" s="30" t="str">
        <x:v>暂无经营范围信息</x:v>
      </x:c>
      <x:c r="Q259" s="32" t="n">
        <x:v>1</x:v>
      </x:c>
      <x:c r="R259" s="32" t="n">
        <x:v>1538</x:v>
      </x:c>
      <x:c r="S259" s="33" t="n">
        <x:v>0.0007000000000000001</x:v>
      </x:c>
      <x:c r="T259" s="34" t="n">
        <x:v>45561.666666666664</x:v>
      </x:c>
      <x:c r="U259" s="30" t="str">
        <x:v>mohantya@ebaco.co.in</x:v>
      </x:c>
      <x:c r="V259" s="30" t="str"/>
      <x:c r="W259" s="30" t="str"/>
      <x:c r="X259" s="30" t="str"/>
      <x:c r="Y259" s="30" t="str"/>
      <x:c r="Z259" s="30" t="str"/>
      <x:c r="AA259" s="30" t="str">
        <x:v>https://www.facebook.com/EBACO-Sports-107435602926492/?ref=hl; https://www.instagram.com/ebacosports?igshid=h5go75w2f9vl; https://www.linkedin.com/company/9490801/admin; https://twitter.com/EbacoSports</x:v>
      </x:c>
      <x:c r="AB259" s="30" t="str"/>
      <x:c r="AC259" s="30" t="str">
        <x:v>mohantya@ebaco.co.in:1</x:v>
      </x:c>
      <x:c r="AD259" s="30" t="str">
        <x:v>遮蔽胶带；油漆刷</x:v>
      </x:c>
      <x:c r="AE259" s="30" t="str">
        <x:v>遮蔽胶带；油漆刷；Flooring Samples</x:v>
      </x:c>
      <x:c r="AF259" s="30" t="str">
        <x:v>MASKING TAPE &amp; PAINT BRUSHE (FLOORING SAMPLES) (FOC) (SAMPLE)</x:v>
      </x:c>
      <x:c r="AG259" s="30" t="str">
        <x:v>涂装遮蔽胶带；Decorative Tape；Coating Brush；Decorating Brush；Floor Sample</x:v>
      </x:c>
      <x:c r="AH259" s="30" t="str">
        <x:v>纸；塑料；Bristle；Wood；Flooring Material</x:v>
      </x:c>
      <x:c r="AI259" s="30" t="str">
        <x:v>Home Decoration；建筑施工；汽车涂装；Art Creation；Flooring Installation</x:v>
      </x:c>
      <x:c r="AJ259" s="30" t="str">
        <x:v>油漆刷</x:v>
      </x:c>
      <x:c r="AK259" s="30" t="str">
        <x:v>expansion-search-paint-brush-page-03</x:v>
      </x:c>
      <x:c r="AL259" s="30" t="str">
        <x:v>UpKuajing customs company contact API</x:v>
      </x:c>
      <x:c r="AM259" s="30" t="str"/>
      <x:c r="AN259" s="30" t="str"/>
      <x:c r="AO259" s="34" t="n">
        <x:v>46220</x:v>
      </x:c>
    </x:row>
    <x:row r="260" ht="44" customHeight="1">
      <x:c r="A260" s="30" t="str">
        <x:v>API联系方式已获取</x:v>
      </x:c>
      <x:c r="B260" s="30" t="str">
        <x:v>常规-全球</x:v>
      </x:c>
      <x:c r="C260" s="30" t="str">
        <x:v>PVC护角条</x:v>
      </x:c>
      <x:c r="D260" s="31" t="str">
        <x:v>30914676</x:v>
      </x:c>
      <x:c r="E260" s="30" t="str">
        <x:v>EUROMOBILIA</x:v>
      </x:c>
      <x:c r="F260" s="30" t="str">
        <x:v>哥斯达黎加</x:v>
      </x:c>
      <x:c r="G260" s="30" t="str">
        <x:v>asesor@euromobilia.com</x:v>
      </x:c>
      <x:c r="H260" s="30" t="str">
        <x:f>IF(ISNUMBER(SEARCH(":1",AC260)),"已验证有效",IF(ISNUMBER(SEARCH(":3",AC260)),"验证不确定",IF(ISNUMBER(SEARCH(":0",AC260)),"接口未能检测",IF(ISNUMBER(SEARCH(":2",AC260)),"判定无效",IF(V260&lt;&gt;"","官网已确认-未验证","无邮箱")))))</x:f>
        <x:v>已验证有效</x:v>
      </x:c>
      <x:c r="I260" s="30" t="str"/>
      <x:c r="J260" s="30" t="str">
        <x:v>http://www.euromobilia.com</x:v>
      </x:c>
      <x:c r="K260" s="35" t="n">
        <x:f>ROUND((IF(H260="已验证有效",40,IF(V260&lt;&gt;"",20,0))+IF(ISNUMBER(SEARCH("状态1",Y260)),25,0)+IF(J260&lt;&gt;"",20,0)+IF(AA260&lt;&gt;"",15,0))/100,2)</x:f>
        <x:v>0.75</x:v>
      </x:c>
      <x:c r="L260" s="30" t="str">
        <x:v>待联系</x:v>
      </x:c>
      <x:c r="M260" s="30" t="str"/>
      <x:c r="N260" s="30" t="str">
        <x:v>600 mts. west to canal 7, pavas. san josé, costa rica.</x:v>
      </x:c>
      <x:c r="O260" s="30" t="str"/>
      <x:c r="P260" s="30" t="str">
        <x:v>冰，轻质面板，8，金属框架，鳕鱼，板，花岗岩板，运费预付，定制，即兴，1028，链条，乙醚，三聚氰胺饰面刨花板，面板</x:v>
      </x:c>
      <x:c r="Q260" s="32" t="n">
        <x:v>1</x:v>
      </x:c>
      <x:c r="R260" s="32" t="n">
        <x:v>651</x:v>
      </x:c>
      <x:c r="S260" s="33" t="n">
        <x:v>0.0015</x:v>
      </x:c>
      <x:c r="T260" s="34" t="n">
        <x:v>45659.666666666664</x:v>
      </x:c>
      <x:c r="U260" s="30" t="str">
        <x:v>7.asesor@euromobilia.com; asesor@euromobilia.com; euromobilia@euromobilia.com; mercadeo@euromobilia.com</x:v>
      </x:c>
      <x:c r="V260" s="30" t="str"/>
      <x:c r="W260" s="30" t="str"/>
      <x:c r="X260" s="30" t="str"/>
      <x:c r="Y260" s="30" t="str"/>
      <x:c r="Z260" s="30" t="str"/>
      <x:c r="AA260" s="30" t="str">
        <x:v>https://www.facebook.com/euromobilialatam; https://www.instagram.com/euromobilia.latam; https://www.linkedin.com/company/euromobilia</x:v>
      </x:c>
      <x:c r="AB260" s="30" t="str"/>
      <x:c r="AC260" s="30" t="str">
        <x:v>7.asesor@euromobilia.com:0; asesor@euromobilia.com:1; euromobilia@euromobilia.com:1; mercadeo@euromobilia.com:1</x:v>
      </x:c>
      <x:c r="AD260" s="30" t="str">
        <x:v>PVC Corner Protector for Baseboard</x:v>
      </x:c>
      <x:c r="AE260" s="30" t="str">
        <x:v>PVC；Corner protector；Baseboard</x:v>
      </x:c>
      <x:c r="AF260" s="30" t="str">
        <x:v>TAPA ESQUINERO DE PVC PARA RODAPIE ZOCALO REF TZCNH8</x:v>
      </x:c>
      <x:c r="AG260" s="30" t="str">
        <x:v>PVC Baseboard Corner Guard；PVC Skirting Board Corner Protector；PVC Wall Base Corner Cover；PVC Floor Molding Corner Piece；PVC Baseboard Edge Protector</x:v>
      </x:c>
      <x:c r="AH260" s="30" t="str">
        <x:v>PVC Resin；增塑剂；Stabilizer；Lubricant；Pigment</x:v>
      </x:c>
      <x:c r="AI260" s="30" t="str">
        <x:v>Residential Buildings；Commercial Buildings；Industrial Facilities；Retail Stores；Offices</x:v>
      </x:c>
      <x:c r="AJ260" s="30" t="str">
        <x:v>PVC护角条</x:v>
      </x:c>
      <x:c r="AK260" s="30" t="str">
        <x:v>expansion-search-pvc-corner-guard-page-01</x:v>
      </x:c>
      <x:c r="AL260" s="30" t="str">
        <x:v>UpKuajing customs company contact API</x:v>
      </x:c>
      <x:c r="AM260" s="30" t="str"/>
      <x:c r="AN260" s="30" t="str"/>
      <x:c r="AO260" s="34" t="n">
        <x:v>46220</x:v>
      </x:c>
    </x:row>
    <x:row r="261" ht="44" customHeight="1">
      <x:c r="A261" s="30" t="str">
        <x:v>API联系方式已获取</x:v>
      </x:c>
      <x:c r="B261" s="30" t="str">
        <x:v>常规-全球</x:v>
      </x:c>
      <x:c r="C261" s="30" t="str">
        <x:v>刷子</x:v>
      </x:c>
      <x:c r="D261" s="31" t="str">
        <x:v>20432489</x:v>
      </x:c>
      <x:c r="E261" s="30" t="str">
        <x:v>FAIRWAY SPORTS PRIVATE LIMITED</x:v>
      </x:c>
      <x:c r="F261" s="30" t="str">
        <x:v>印度</x:v>
      </x:c>
      <x:c r="G261" s="30" t="str">
        <x:v>accounts@zaverchandsports.com</x:v>
      </x:c>
      <x:c r="H261" s="30" t="str">
        <x:f>IF(ISNUMBER(SEARCH(":1",AC261)),"已验证有效",IF(ISNUMBER(SEARCH(":3",AC261)),"验证不确定",IF(ISNUMBER(SEARCH(":0",AC261)),"接口未能检测",IF(ISNUMBER(SEARCH(":2",AC261)),"判定无效",IF(V261&lt;&gt;"","官网已确认-未验证","无邮箱")))))</x:f>
        <x:v>已验证有效</x:v>
      </x:c>
      <x:c r="I261" s="30" t="str"/>
      <x:c r="J261" s="30" t="str">
        <x:v>fairwaysports.in/password</x:v>
      </x:c>
      <x:c r="K261" s="35" t="n">
        <x:f>ROUND((IF(H261="已验证有效",40,IF(V261&lt;&gt;"",20,0))+IF(ISNUMBER(SEARCH("状态1",Y261)),25,0)+IF(J261&lt;&gt;"",20,0)+IF(AA261&lt;&gt;"",15,0))/100,2)</x:f>
        <x:v>0.6</x:v>
      </x:c>
      <x:c r="L261" s="30" t="str">
        <x:v>待联系</x:v>
      </x:c>
      <x:c r="M261" s="30" t="str"/>
      <x:c r="N261" s="30" t="str">
        <x:v>63/ 64 , 6TH FLOOR , MEHERZIN BLDG, 109/ A WOOD HOUSE ROAD, COLABA MUMBAI</x:v>
      </x:c>
      <x:c r="O261" s="30" t="str"/>
      <x:c r="P261" s="30" t="str">
        <x:v>暂无经营范围信息</x:v>
      </x:c>
      <x:c r="Q261" s="32" t="n">
        <x:v>1</x:v>
      </x:c>
      <x:c r="R261" s="32" t="n">
        <x:v>1573</x:v>
      </x:c>
      <x:c r="S261" s="33" t="n">
        <x:v>0.0006</x:v>
      </x:c>
      <x:c r="T261" s="34" t="n">
        <x:v>45758.666666666664</x:v>
      </x:c>
      <x:c r="U261" s="30" t="str">
        <x:v>accounts@zaverchandsports.com</x:v>
      </x:c>
      <x:c r="V261" s="30" t="str"/>
      <x:c r="W261" s="30" t="str"/>
      <x:c r="X261" s="30" t="str"/>
      <x:c r="Y261" s="30" t="str"/>
      <x:c r="Z261" s="30" t="str"/>
      <x:c r="AA261" s="30" t="str"/>
      <x:c r="AB261" s="30" t="str"/>
      <x:c r="AC261" s="30" t="str">
        <x:v>accounts@zaverchandsports.com:1</x:v>
      </x:c>
      <x:c r="AD261" s="30" t="str">
        <x:v>Carbon Brush</x:v>
      </x:c>
      <x:c r="AE261" s="30" t="str">
        <x:v>Carbon Brush；Electric Golf Car；零部件</x:v>
      </x:c>
      <x:c r="AF261" s="30" t="str">
        <x:v>Carbon Brush1017946 [PARTS OF ELECTRIC GOLF CAR] Carbon Brush1017946 [PARTS OF ELECTRIC GOLF CAR]</x:v>
      </x:c>
      <x:c r="AG261" s="30" t="str">
        <x:v>Graphite Brush；Motor Brush；Commutator Brush；Electrical Brush；Conductive Brush</x:v>
      </x:c>
      <x:c r="AH261" s="30" t="str">
        <x:v>Carbon；Graphite；Copper；Resin；金属</x:v>
      </x:c>
      <x:c r="AI261" s="30" t="str">
        <x:v>Electric Golf Cars；Electric Bicycles；Electric Scooters；Electric Motors；Generators</x:v>
      </x:c>
      <x:c r="AJ261" s="30" t="str">
        <x:v>刷子</x:v>
      </x:c>
      <x:c r="AK261" s="30" t="str">
        <x:v>expansion-search-brush-page-05</x:v>
      </x:c>
      <x:c r="AL261" s="30" t="str">
        <x:v>UpKuajing customs company contact API</x:v>
      </x:c>
      <x:c r="AM261" s="30" t="str"/>
      <x:c r="AN261" s="30" t="str"/>
      <x:c r="AO261" s="34" t="n">
        <x:v>46220</x:v>
      </x:c>
    </x:row>
    <x:row r="262" ht="44" customHeight="1">
      <x:c r="A262" s="30" t="str">
        <x:v>API联系方式已获取</x:v>
      </x:c>
      <x:c r="B262" s="30" t="str">
        <x:v>常规-全球</x:v>
      </x:c>
      <x:c r="C262" s="30" t="str">
        <x:v>PVC护角条</x:v>
      </x:c>
      <x:c r="D262" s="31" t="str">
        <x:v>272249</x:v>
      </x:c>
      <x:c r="E262" s="30" t="str">
        <x:v>forestal santa rosa sac</x:v>
      </x:c>
      <x:c r="F262" s="30" t="str">
        <x:v>秘鲁</x:v>
      </x:c>
      <x:c r="G262" s="30" t="str">
        <x:v>sdelgado@dimfer.com.pe</x:v>
      </x:c>
      <x:c r="H262" s="30" t="str">
        <x:f>IF(ISNUMBER(SEARCH(":1",AC262)),"已验证有效",IF(ISNUMBER(SEARCH(":3",AC262)),"验证不确定",IF(ISNUMBER(SEARCH(":0",AC262)),"接口未能检测",IF(ISNUMBER(SEARCH(":2",AC262)),"判定无效",IF(V262&lt;&gt;"","官网已确认-未验证","无邮箱")))))</x:f>
        <x:v>已验证有效</x:v>
      </x:c>
      <x:c r="I262" s="30" t="str"/>
      <x:c r="J262" s="30" t="str">
        <x:v>www.dimfer.com.pe</x:v>
      </x:c>
      <x:c r="K262" s="35" t="n">
        <x:f>ROUND((IF(H262="已验证有效",40,IF(V262&lt;&gt;"",20,0))+IF(ISNUMBER(SEARCH("状态1",Y262)),25,0)+IF(J262&lt;&gt;"",20,0)+IF(AA262&lt;&gt;"",15,0))/100,2)</x:f>
        <x:v>0.6</x:v>
      </x:c>
      <x:c r="L262" s="30" t="str">
        <x:v>待联系</x:v>
      </x:c>
      <x:c r="M262" s="30" t="str"/>
      <x:c r="N262" s="30" t="str">
        <x:v>av. victor malasquez nro. 502 pachacamac lima</x:v>
      </x:c>
      <x:c r="O262" s="30" t="str"/>
      <x:c r="P262" s="30" t="str">
        <x:v>聚氯乙烯、克鲁勃、分析定时器、仪表板、接触器、卡拉、干燥机、蜡笔、切削工具、水产养殖、气体洗涤器、带锯、控制面板接触器、双丁格木、胡桃木强化地板、机械、木地板、草莓、配电带、刨花板</x:v>
      </x:c>
      <x:c r="Q262" s="32" t="n">
        <x:v>1</x:v>
      </x:c>
      <x:c r="R262" s="32" t="n">
        <x:v>5566</x:v>
      </x:c>
      <x:c r="S262" s="33" t="n">
        <x:v>0.0002</x:v>
      </x:c>
      <x:c r="T262" s="34" t="n">
        <x:v>45740.666666666664</x:v>
      </x:c>
      <x:c r="U262" s="30" t="str">
        <x:v>sdelgado@dimfer.com.pe</x:v>
      </x:c>
      <x:c r="V262" s="30" t="str"/>
      <x:c r="W262" s="30" t="str"/>
      <x:c r="X262" s="30" t="str"/>
      <x:c r="Y262" s="30" t="str"/>
      <x:c r="Z262" s="30" t="str"/>
      <x:c r="AA262" s="30" t="str"/>
      <x:c r="AB262" s="30" t="str"/>
      <x:c r="AC262" s="30" t="str">
        <x:v>sdelgado@dimfer.com.pe:1</x:v>
      </x:c>
      <x:c r="AD262" s="30" t="str">
        <x:v>PVC护角条</x:v>
      </x:c>
      <x:c r="AE262" s="30" t="str">
        <x:v>PVC；Corner protector</x:v>
      </x:c>
      <x:c r="AF262" s="30" t="str">
        <x:v>TAPACANTO DE PVC, CANPLAST, S/M Ancho:0.050 Metros, Espesor:1.000 mm, Gramaje:0.20 GR/M2 Calidad:Primera, Estruc.Comp.Plastico:100, Estruc.Soporte:0 Acabado:VARIOS, Color:CON COLOR, 0% Composición:100% Policloruro de Vinilo, Elab:Sin soporte, Compacto, TAP</x:v>
      </x:c>
      <x:c r="AG262" s="30" t="str">
        <x:v>PVC护角条；PVC edge protector；Vinyl corner protector；Plastic corner protector；Polyvinyl chloride corner protector</x:v>
      </x:c>
      <x:c r="AH262" s="30" t="str">
        <x:v>Polyvinyl chloride resin；增塑剂；Stabilizer；Lubricant；Filler</x:v>
      </x:c>
      <x:c r="AI262" s="30" t="str">
        <x:v>Furniture；Cabinet；Door；Window；Wall</x:v>
      </x:c>
      <x:c r="AJ262" s="30" t="str">
        <x:v>PVC护角条</x:v>
      </x:c>
      <x:c r="AK262" s="30" t="str">
        <x:v>expansion-search-pvc-corner-guard-page-01</x:v>
      </x:c>
      <x:c r="AL262" s="30" t="str">
        <x:v>UpKuajing customs company contact API</x:v>
      </x:c>
      <x:c r="AM262" s="30" t="str"/>
      <x:c r="AN262" s="30" t="str"/>
      <x:c r="AO262" s="34" t="n">
        <x:v>46220</x:v>
      </x:c>
    </x:row>
    <x:row r="263" ht="44" customHeight="1">
      <x:c r="A263" s="30" t="str">
        <x:v>API联系方式已获取</x:v>
      </x:c>
      <x:c r="B263" s="30" t="str">
        <x:v>常规-全球</x:v>
      </x:c>
      <x:c r="C263" s="30" t="str">
        <x:v>刷子</x:v>
      </x:c>
      <x:c r="D263" s="31" t="str">
        <x:v>20429959</x:v>
      </x:c>
      <x:c r="E263" s="30" t="str">
        <x:v>FOTOGRAFICA FOTOMAR S A</x:v>
      </x:c>
      <x:c r="F263" s="30" t="str">
        <x:v>智利</x:v>
      </x:c>
      <x:c r="G263" s="30" t="str">
        <x:v>egalvez@fotomar.cl</x:v>
      </x:c>
      <x:c r="H263" s="30" t="str">
        <x:f>IF(ISNUMBER(SEARCH(":1",AC263)),"已验证有效",IF(ISNUMBER(SEARCH(":3",AC263)),"验证不确定",IF(ISNUMBER(SEARCH(":0",AC263)),"接口未能检测",IF(ISNUMBER(SEARCH(":2",AC263)),"判定无效",IF(V263&lt;&gt;"","官网已确认-未验证","无邮箱")))))</x:f>
        <x:v>接口未能检测</x:v>
      </x:c>
      <x:c r="I263" s="30" t="str">
        <x:v>+56 2 2328 9843</x:v>
      </x:c>
      <x:c r="J263" s="30" t="str">
        <x:v>www.fotomar.cl</x:v>
      </x:c>
      <x:c r="K263" s="35" t="n">
        <x:f>ROUND((IF(H263="已验证有效",40,IF(V263&lt;&gt;"",20,0))+IF(ISNUMBER(SEARCH("状态1",Y263)),25,0)+IF(J263&lt;&gt;"",20,0)+IF(AA263&lt;&gt;"",15,0))/100,2)</x:f>
        <x:v>0.6</x:v>
      </x:c>
      <x:c r="L263" s="30" t="str">
        <x:v>待联系</x:v>
      </x:c>
      <x:c r="M263" s="30" t="str"/>
      <x:c r="N263" s="30" t="str">
        <x:v>CAMINO DE LA COLINA 1447 , HUECHURABA</x:v>
      </x:c>
      <x:c r="O263" s="30" t="str"/>
      <x:c r="P263" s="30" t="str">
        <x:v>暂无经营范围信息</x:v>
      </x:c>
      <x:c r="Q263" s="32" t="n">
        <x:v>1</x:v>
      </x:c>
      <x:c r="R263" s="32" t="n">
        <x:v>3824</x:v>
      </x:c>
      <x:c r="S263" s="33" t="n">
        <x:v>0.0003</x:v>
      </x:c>
      <x:c r="T263" s="34" t="n">
        <x:v>45803.666666666664</x:v>
      </x:c>
      <x:c r="U263" s="30" t="str">
        <x:v>egalvez@fotomar.cl; jcsalas@fotomar.cl; ventas@fotomar.cl</x:v>
      </x:c>
      <x:c r="V263" s="30" t="str"/>
      <x:c r="W263" s="30" t="str">
        <x:v>+56 2 2328 9843</x:v>
      </x:c>
      <x:c r="X263" s="30" t="str"/>
      <x:c r="Y263" s="30" t="str">
        <x:v>+56 2 2328 9843:状态1/类型3/WhatsApp2</x:v>
      </x:c>
      <x:c r="Z263" s="30" t="str"/>
      <x:c r="AA263" s="30" t="str">
        <x:v>https://www.linkedin.com/company/fotograficafotomar</x:v>
      </x:c>
      <x:c r="AB263" s="30" t="str"/>
      <x:c r="AC263" s="30" t="str">
        <x:v>egalvez@fotomar.cl:0; jcsalas@fotomar.cl:0; ventas@fotomar.cl:0</x:v>
      </x:c>
      <x:c r="AD263" s="30" t="str">
        <x:v>Photographic equipment parts；Mechanical broom；刷子；Duster</x:v>
      </x:c>
      <x:c r="AE263" s="30" t="str">
        <x:v>Photographic equipment parts；Mechanical broom；刷子；Duster；Cleaning</x:v>
      </x:c>
      <x:c r="AF263" s="30" t="str">
        <x:v>SET DE LIMPIEZAH.K.Z.T.-FCOMPLETAS CON SUS PARTES Y ACCESORIOSPARTES  PARA EQUIPOS DEFOTOGRAFICOS. ESCOBAS MECANICAS USO MANUAL, PINCELES Y PLUMEROS</x:v>
      </x:c>
      <x:c r="AG263" s="30" t="str">
        <x:v>Photography parts；Manual broom；Cleaning brush；Dusting tool；Photo equipment accessory</x:v>
      </x:c>
      <x:c r="AH263" s="30" t="str">
        <x:v>塑料；金属；Bristles；Wood；Fiber</x:v>
      </x:c>
      <x:c r="AI263" s="30" t="str">
        <x:v>Camera；Printer；Lens；Darkroom equipment；Photo frame</x:v>
      </x:c>
      <x:c r="AJ263" s="30" t="str">
        <x:v>刷子</x:v>
      </x:c>
      <x:c r="AK263" s="30" t="str">
        <x:v>expansion-search-brush-page-03</x:v>
      </x:c>
      <x:c r="AL263" s="30" t="str">
        <x:v>UpKuajing customs company contact API</x:v>
      </x:c>
      <x:c r="AM263" s="30" t="str"/>
      <x:c r="AN263" s="30" t="str"/>
      <x:c r="AO263" s="34" t="n">
        <x:v>46220</x:v>
      </x:c>
    </x:row>
    <x:row r="264" ht="44" customHeight="1">
      <x:c r="A264" s="30" t="str">
        <x:v>API联系方式已获取</x:v>
      </x:c>
      <x:c r="B264" s="30" t="str">
        <x:v>常规-全球</x:v>
      </x:c>
      <x:c r="C264" s="30" t="str">
        <x:v>油漆刷</x:v>
      </x:c>
      <x:c r="D264" s="31" t="str">
        <x:v>20214041</x:v>
      </x:c>
      <x:c r="E264" s="30" t="str">
        <x:v>GLOBAL VECTRA HELICORP LIMITED</x:v>
      </x:c>
      <x:c r="F264" s="30" t="str">
        <x:v>印度</x:v>
      </x:c>
      <x:c r="G264" s="30" t="str">
        <x:v>charters@gvhl.in</x:v>
      </x:c>
      <x:c r="H264" s="30" t="str">
        <x:f>IF(ISNUMBER(SEARCH(":1",AC264)),"已验证有效",IF(ISNUMBER(SEARCH(":3",AC264)),"验证不确定",IF(ISNUMBER(SEARCH(":0",AC264)),"接口未能检测",IF(ISNUMBER(SEARCH(":2",AC264)),"判定无效",IF(V264&lt;&gt;"","官网已确认-未验证","无邮箱")))))</x:f>
        <x:v>已验证有效</x:v>
      </x:c>
      <x:c r="I264" s="30" t="str">
        <x:v>+91 11 4643 3300</x:v>
      </x:c>
      <x:c r="J264" s="30" t="str">
        <x:v>www.globalhelicorp.com</x:v>
      </x:c>
      <x:c r="K264" s="35" t="n">
        <x:f>ROUND((IF(H264="已验证有效",40,IF(V264&lt;&gt;"",20,0))+IF(ISNUMBER(SEARCH("状态1",Y264)),25,0)+IF(J264&lt;&gt;"",20,0)+IF(AA264&lt;&gt;"",15,0))/100,2)</x:f>
        <x:v>1</x:v>
      </x:c>
      <x:c r="L264" s="30" t="str">
        <x:v>待联系</x:v>
      </x:c>
      <x:c r="M264" s="30" t="str"/>
      <x:c r="N264" s="30" t="str">
        <x:v>A-54, KAILASH COLONY</x:v>
      </x:c>
      <x:c r="O264" s="30" t="str"/>
      <x:c r="P264" s="30" t="str">
        <x:v>陆上运输直升机包机服务；贝尔直升机（412）、空客直升机（1551、1352、1302和3503）和阿古斯塔-韦斯特兰直升机（）（139）；地震勘测、电力线路检查和维护以及为各种客户提供的一系列其他服务</x:v>
      </x:c>
      <x:c r="Q264" s="32" t="n">
        <x:v>1</x:v>
      </x:c>
      <x:c r="R264" s="32" t="n">
        <x:v>12457</x:v>
      </x:c>
      <x:c r="S264" s="33" t="n">
        <x:v>0.0001</x:v>
      </x:c>
      <x:c r="T264" s="34" t="n">
        <x:v>45865.666666666664</x:v>
      </x:c>
      <x:c r="U264" s="30" t="str">
        <x:v>charters@gvhl.in; globalhelicorp@gvhl.in; globalhelicorp@gvhl.net; raakesh@gvhl.net</x:v>
      </x:c>
      <x:c r="V264" s="30" t="str"/>
      <x:c r="W264" s="30" t="str">
        <x:v>1140507215; 1146433300; 2261409200; 2261409300; +91 11 4643 3300; +91 22 6140 9200</x:v>
      </x:c>
      <x:c r="X264" s="30" t="str"/>
      <x:c r="Y264" s="30" t="str">
        <x:v>1140507215:状态2/类型0/WhatsApp2; 1146433300:状态2/类型0/WhatsApp2; 2261409200:状态2/类型0/WhatsApp2; 2261409300:状态2/类型0/WhatsApp2; +91 11 4643 3300:状态1/类型1/WhatsApp2; +91 22 6140 9200:状态1/类型1/WhatsApp2</x:v>
      </x:c>
      <x:c r="Z264" s="30" t="str"/>
      <x:c r="AA264" s="30" t="str">
        <x:v>https://www.linkedin.com/company/global-vectra-helicorp-ltd/mycompany</x:v>
      </x:c>
      <x:c r="AB264" s="30" t="str"/>
      <x:c r="AC264" s="30" t="str">
        <x:v>charters@gvhl.in:1; globalhelicorp@gvhl.in:1; globalhelicorp@gvhl.net:1; raakesh@gvhl.net:1</x:v>
      </x:c>
      <x:c r="AD264" s="30" t="str">
        <x:v>油漆刷；Paint</x:v>
      </x:c>
      <x:c r="AE264" s="30" t="str">
        <x:v>Tools；Aircraft；油漆刷；Paint</x:v>
      </x:c>
      <x:c r="AF264" s="30" t="str">
        <x:v>TOOLS FOR  WORK ON AIRCRAFT - TEMPORARY IMPORT -Small PaintBrush P/N:No P/No(FOC)TOOLS FOR  WORK ON AIRCRAFT - TEMPORARY IMPORT -Small Paint</x:v>
      </x:c>
      <x:c r="AG264" s="30" t="str">
        <x:v>油漆刷；Aircraft Paint Tool；Aircraft Painting Brush；Painting Instrument；Aircraft Painting Material</x:v>
      </x:c>
      <x:c r="AH264" s="30" t="str">
        <x:v>Wood；塑料；Paint Pigments；溶剂；Binder</x:v>
      </x:c>
      <x:c r="AI264" s="30" t="str">
        <x:v>飞机维护；飞机制造；Aircraft Refurbishment；Aircraft Restoration；Aircraft Decoration</x:v>
      </x:c>
      <x:c r="AJ264" s="30" t="str">
        <x:v>油漆刷</x:v>
      </x:c>
      <x:c r="AK264" s="30" t="str">
        <x:v>expansion-search-paint-brush-page-02</x:v>
      </x:c>
      <x:c r="AL264" s="30" t="str">
        <x:v>UpKuajing customs company contact API</x:v>
      </x:c>
      <x:c r="AM264" s="30" t="str"/>
      <x:c r="AN264" s="30" t="str"/>
      <x:c r="AO264" s="34" t="n">
        <x:v>46220</x:v>
      </x:c>
    </x:row>
    <x:row r="265" ht="44" customHeight="1">
      <x:c r="A265" s="30" t="str">
        <x:v>API联系方式已获取</x:v>
      </x:c>
      <x:c r="B265" s="30" t="str">
        <x:v>常规-全球</x:v>
      </x:c>
      <x:c r="C265" s="30" t="str">
        <x:v>PVC护角条</x:v>
      </x:c>
      <x:c r="D265" s="31" t="str">
        <x:v>31595387</x:v>
      </x:c>
      <x:c r="E265" s="30" t="str">
        <x:v>GM SHIPTECH TRAINING PRIVATE LIMITED</x:v>
      </x:c>
      <x:c r="F265" s="30" t="str">
        <x:v>印度</x:v>
      </x:c>
      <x:c r="G265" s="30" t="str">
        <x:v>admin@gmshiptech.com</x:v>
      </x:c>
      <x:c r="H265" s="30" t="str">
        <x:f>IF(ISNUMBER(SEARCH(":1",AC265)),"已验证有效",IF(ISNUMBER(SEARCH(":3",AC265)),"验证不确定",IF(ISNUMBER(SEARCH(":0",AC265)),"接口未能检测",IF(ISNUMBER(SEARCH(":2",AC265)),"判定无效",IF(V265&lt;&gt;"","官网已确认-未验证","无邮箱")))))</x:f>
        <x:v>已验证有效</x:v>
      </x:c>
      <x:c r="I265" s="30" t="str">
        <x:v>+91 44 2277 0886</x:v>
      </x:c>
      <x:c r="J265" s="30" t="str">
        <x:v>www.gmshiptech.com</x:v>
      </x:c>
      <x:c r="K265" s="35" t="n">
        <x:f>ROUND((IF(H265="已验证有效",40,IF(V265&lt;&gt;"",20,0))+IF(ISNUMBER(SEARCH("状态1",Y265)),25,0)+IF(J265&lt;&gt;"",20,0)+IF(AA265&lt;&gt;"",15,0))/100,2)</x:f>
        <x:v>0.85</x:v>
      </x:c>
      <x:c r="L265" s="30" t="str">
        <x:v>待联系</x:v>
      </x:c>
      <x:c r="M265" s="30" t="str"/>
      <x:c r="N265" s="30" t="str">
        <x:v>1/374 BHARATHI NAGAR FIRST STREET VENGAIVASAL</x:v>
      </x:c>
      <x:c r="O265" s="30" t="str"/>
      <x:c r="P265" s="30" t="str">
        <x:v>暂无经营范围信息</x:v>
      </x:c>
      <x:c r="Q265" s="32" t="n">
        <x:v>1</x:v>
      </x:c>
      <x:c r="R265" s="32" t="n">
        <x:v>27</x:v>
      </x:c>
      <x:c r="S265" s="33" t="n">
        <x:v>0.037000000000000005</x:v>
      </x:c>
      <x:c r="T265" s="34" t="n">
        <x:v>45510.666666666664</x:v>
      </x:c>
      <x:c r="U265" s="30" t="str">
        <x:v>admin@gmshiptech.com; macroganapathi@gmail.com</x:v>
      </x:c>
      <x:c r="V265" s="30" t="str"/>
      <x:c r="W265" s="30" t="str">
        <x:v>4422770886; +91 44 2277 0886; +91 73388 12345; +91 98410 26227; +91 98410 46882</x:v>
      </x:c>
      <x:c r="X265" s="30" t="str"/>
      <x:c r="Y265" s="30" t="str">
        <x:v>4422770886:状态2/类型0/WhatsApp2; +91 44 2277 0886:状态1/类型1/WhatsApp2; +91 73388 12345:状态1/类型2/WhatsApp1; +91 98410 26227:状态1/类型2/WhatsApp1; +91 98410 46882:状态1/类型2/WhatsApp1</x:v>
      </x:c>
      <x:c r="Z265" s="30" t="str">
        <x:v>+91 73388 12345; +91 98410 26227; +91 98410 46882</x:v>
      </x:c>
      <x:c r="AA265" s="30" t="str"/>
      <x:c r="AB265" s="30" t="str"/>
      <x:c r="AC265" s="30" t="str">
        <x:v>admin@gmshiptech.com:1; macroganapathi@gmail.com:1</x:v>
      </x:c>
      <x:c r="AD265" s="30" t="str"/>
      <x:c r="AE265" s="30" t="str"/>
      <x:c r="AF265" s="30" t="str">
        <x:v>PVC CORNERING BEADING - CORNER BEAD CRV -2S(2.2M) (FOC ITEM) </x:v>
      </x:c>
      <x:c r="AG265" s="30" t="str"/>
      <x:c r="AH265" s="30" t="str"/>
      <x:c r="AI265" s="30" t="str"/>
      <x:c r="AJ265" s="30" t="str">
        <x:v>PVC护角条</x:v>
      </x:c>
      <x:c r="AK265" s="30" t="str">
        <x:v>expansion-search-pvc-corner-bead-page-01</x:v>
      </x:c>
      <x:c r="AL265" s="30" t="str">
        <x:v>UpKuajing customs company contact API</x:v>
      </x:c>
      <x:c r="AM265" s="30" t="str"/>
      <x:c r="AN265" s="30" t="str"/>
      <x:c r="AO265" s="34" t="n">
        <x:v>46220</x:v>
      </x:c>
    </x:row>
    <x:row r="266" ht="44" customHeight="1">
      <x:c r="A266" s="30" t="str">
        <x:v>API联系方式已获取</x:v>
      </x:c>
      <x:c r="B266" s="30" t="str">
        <x:v>常规-全球</x:v>
      </x:c>
      <x:c r="C266" s="30" t="str">
        <x:v>PVC护角条</x:v>
      </x:c>
      <x:c r="D266" s="31" t="str">
        <x:v>296473</x:v>
      </x:c>
      <x:c r="E266" s="30" t="str">
        <x:v>hopsa s.a.</x:v>
      </x:c>
      <x:c r="F266" s="30" t="str">
        <x:v>巴拿马</x:v>
      </x:c>
      <x:c r="G266" s="30" t="str">
        <x:v>info@hopsa.com</x:v>
      </x:c>
      <x:c r="H266" s="30" t="str">
        <x:f>IF(ISNUMBER(SEARCH(":1",AC266)),"已验证有效",IF(ISNUMBER(SEARCH(":3",AC266)),"验证不确定",IF(ISNUMBER(SEARCH(":0",AC266)),"接口未能检测",IF(ISNUMBER(SEARCH(":2",AC266)),"判定无效",IF(V266&lt;&gt;"","官网已确认-未验证","无邮箱")))))</x:f>
        <x:v>已验证有效</x:v>
      </x:c>
      <x:c r="I266" s="30" t="str"/>
      <x:c r="J266" s="30" t="str">
        <x:v>http://www.hopsa.com</x:v>
      </x:c>
      <x:c r="K266" s="35" t="n">
        <x:f>ROUND((IF(H266="已验证有效",40,IF(V266&lt;&gt;"",20,0))+IF(ISNUMBER(SEARCH("状态1",Y266)),25,0)+IF(J266&lt;&gt;"",20,0)+IF(AA266&lt;&gt;"",15,0))/100,2)</x:f>
        <x:v>0.6</x:v>
      </x:c>
      <x:c r="L266" s="30" t="str">
        <x:v>待联系</x:v>
      </x:c>
      <x:c r="M266" s="30" t="str"/>
      <x:c r="N266" s="30" t="str">
        <x:v>vía interamericana, a 500 m del machetazo</x:v>
      </x:c>
      <x:c r="O266" s="30" t="str"/>
      <x:c r="P266" s="30" t="str">
        <x:v>16，盒子，环帽，墙钉，夹，臂，张力杆，户外，门，螺栓，钢筋，张力带，陶瓷屋面瓦，瓷砖，帽，1</x:v>
      </x:c>
      <x:c r="Q266" s="32" t="n">
        <x:v>1</x:v>
      </x:c>
      <x:c r="R266" s="32" t="n">
        <x:v>16571</x:v>
      </x:c>
      <x:c r="S266" s="33" t="n">
        <x:v>0.0001</x:v>
      </x:c>
      <x:c r="T266" s="34" t="n">
        <x:v>45642.666666666664</x:v>
      </x:c>
      <x:c r="U266" s="30" t="str">
        <x:v>esimons@hopsa.com; info@hopsa.com; ventas24diciembre@hopsa.com</x:v>
      </x:c>
      <x:c r="V266" s="30" t="str"/>
      <x:c r="W266" s="30" t="str"/>
      <x:c r="X266" s="30" t="str"/>
      <x:c r="Y266" s="30" t="str"/>
      <x:c r="Z266" s="30" t="str"/>
      <x:c r="AA266" s="30" t="str"/>
      <x:c r="AB266" s="30" t="str"/>
      <x:c r="AC266" s="30" t="str">
        <x:v>esimons@hopsa.com:0; info@hopsa.com:1; ventas24diciembre@hopsa.com:1</x:v>
      </x:c>
      <x:c r="AD266" s="30" t="str">
        <x:v>PVC Corner and Profile</x:v>
      </x:c>
      <x:c r="AE266" s="30" t="str">
        <x:v>PVC；Corner；Profile</x:v>
      </x:c>
      <x:c r="AF266" s="30" t="str">
        <x:v>ESQUINEROS Y PERFILES DE PVC</x:v>
      </x:c>
      <x:c r="AG266" s="30" t="str">
        <x:v>PVC Edge Trim；PVC Molding；PVC护角条；PVC Trim Strip；PVC Profile Molding</x:v>
      </x:c>
      <x:c r="AH266" s="30" t="str">
        <x:v>Polyvinyl Chloride Resin；Plasticizers；Stabilizers；Fillers；Lubricants</x:v>
      </x:c>
      <x:c r="AI266" s="30" t="str">
        <x:v>Furniture；建筑施工；Automotive；Electronics；Interior Decoration</x:v>
      </x:c>
      <x:c r="AJ266" s="30" t="str">
        <x:v>PVC护角条</x:v>
      </x:c>
      <x:c r="AK266" s="30" t="str">
        <x:v>expansion-search-pvc-corner-guard-page-01</x:v>
      </x:c>
      <x:c r="AL266" s="30" t="str">
        <x:v>UpKuajing customs company contact API</x:v>
      </x:c>
      <x:c r="AM266" s="30" t="str"/>
      <x:c r="AN266" s="30" t="str"/>
      <x:c r="AO266" s="34" t="n">
        <x:v>46220</x:v>
      </x:c>
    </x:row>
    <x:row r="267" ht="44" customHeight="1">
      <x:c r="A267" s="30" t="str">
        <x:v>API联系方式已获取</x:v>
      </x:c>
      <x:c r="B267" s="30" t="str">
        <x:v>常规-全球</x:v>
      </x:c>
      <x:c r="C267" s="30" t="str">
        <x:v>刷子</x:v>
      </x:c>
      <x:c r="D267" s="31" t="str">
        <x:v>20437943</x:v>
      </x:c>
      <x:c r="E267" s="30" t="str">
        <x:v>INTAS PHARMACEUTICALS LIMITED</x:v>
      </x:c>
      <x:c r="F267" s="30" t="str">
        <x:v>印度</x:v>
      </x:c>
      <x:c r="G267" s="30" t="str">
        <x:v>manoj_nair@intaspharma.com</x:v>
      </x:c>
      <x:c r="H267" s="30" t="str">
        <x:f>IF(ISNUMBER(SEARCH(":1",AC267)),"已验证有效",IF(ISNUMBER(SEARCH(":3",AC267)),"验证不确定",IF(ISNUMBER(SEARCH(":0",AC267)),"接口未能检测",IF(ISNUMBER(SEARCH(":2",AC267)),"判定无效",IF(V267&lt;&gt;"","官网已确认-未验证","无邮箱")))))</x:f>
        <x:v>已验证有效</x:v>
      </x:c>
      <x:c r="I267" s="30" t="str">
        <x:v>+91 79 6157 7000</x:v>
      </x:c>
      <x:c r="J267" s="30" t="str">
        <x:v>www.intaspharma.com</x:v>
      </x:c>
      <x:c r="K267" s="35" t="n">
        <x:f>ROUND((IF(H267="已验证有效",40,IF(V267&lt;&gt;"",20,0))+IF(ISNUMBER(SEARCH("状态1",Y267)),25,0)+IF(J267&lt;&gt;"",20,0)+IF(AA267&lt;&gt;"",15,0))/100,2)</x:f>
        <x:v>1</x:v>
      </x:c>
      <x:c r="L267" s="30" t="str">
        <x:v>待联系</x:v>
      </x:c>
      <x:c r="M267" s="30" t="str"/>
      <x:c r="N267" s="30" t="str">
        <x:v>MORAIYA SARKHEJ BAWLA ROAD, TAL-SANAND, MO, PLOT NO :423P A GIDC</x:v>
      </x:c>
      <x:c r="O267" s="30" t="str"/>
      <x:c r="P267" s="30" t="str">
        <x:v>药物制剂</x:v>
      </x:c>
      <x:c r="Q267" s="32" t="n">
        <x:v>1</x:v>
      </x:c>
      <x:c r="R267" s="32" t="n">
        <x:v>15548</x:v>
      </x:c>
      <x:c r="S267" s="33" t="n">
        <x:v>0.0001</x:v>
      </x:c>
      <x:c r="T267" s="34" t="n">
        <x:v>45554.666666666664</x:v>
      </x:c>
      <x:c r="U267" s="30" t="str">
        <x:v>manoj_nair@intaspharma.com</x:v>
      </x:c>
      <x:c r="V267" s="30" t="str"/>
      <x:c r="W267" s="30" t="str">
        <x:v>+91 79 6157 7000</x:v>
      </x:c>
      <x:c r="X267" s="30" t="str"/>
      <x:c r="Y267" s="30" t="str">
        <x:v>+91 79 6157 7000:状态1/类型1/WhatsApp2</x:v>
      </x:c>
      <x:c r="Z267" s="30" t="str"/>
      <x:c r="AA267" s="30" t="str">
        <x:v>https://www.linkedin.com/company/intas-biopharmaceuticals</x:v>
      </x:c>
      <x:c r="AB267" s="30" t="str"/>
      <x:c r="AC267" s="30" t="str">
        <x:v>manoj_nair@intaspharma.com:1</x:v>
      </x:c>
      <x:c r="AD267" s="30" t="str">
        <x:v>刷子</x:v>
      </x:c>
      <x:c r="AE267" s="30" t="str">
        <x:v>刷子</x:v>
      </x:c>
      <x:c r="AF267" s="30" t="str">
        <x:v>BRUSHES ( FOC )</x:v>
      </x:c>
      <x:c r="AG267" s="30" t="str">
        <x:v>Bristle brush；Scrub brush；油漆刷；Toothbrush；Hairbrush</x:v>
      </x:c>
      <x:c r="AH267" s="30" t="str">
        <x:v>Bristles；Wood；塑料；金属；Fiber</x:v>
      </x:c>
      <x:c r="AI267" s="30" t="str">
        <x:v>Household cleaning；Painting；Personal hygiene；Automotive cleaning；Industrial cleaning</x:v>
      </x:c>
      <x:c r="AJ267" s="30" t="str">
        <x:v>刷子</x:v>
      </x:c>
      <x:c r="AK267" s="30" t="str">
        <x:v>expansion-search-brush-page-05</x:v>
      </x:c>
      <x:c r="AL267" s="30" t="str">
        <x:v>UpKuajing customs company contact API</x:v>
      </x:c>
      <x:c r="AM267" s="30" t="str"/>
      <x:c r="AN267" s="30" t="str"/>
      <x:c r="AO267" s="34" t="n">
        <x:v>46220</x:v>
      </x:c>
    </x:row>
    <x:row r="268" ht="44" customHeight="1">
      <x:c r="A268" s="30" t="str">
        <x:v>API联系方式已获取</x:v>
      </x:c>
      <x:c r="B268" s="30" t="str">
        <x:v>常规-全球</x:v>
      </x:c>
      <x:c r="C268" s="30" t="str">
        <x:v>胶带</x:v>
      </x:c>
      <x:c r="D268" s="31" t="str">
        <x:v>20437682</x:v>
      </x:c>
      <x:c r="E268" s="30" t="str">
        <x:v>MABATI ROLLING MILLS LIMITED</x:v>
      </x:c>
      <x:c r="F268" s="30" t="str">
        <x:v>肯尼亚</x:v>
      </x:c>
      <x:c r="G268" s="30" t="str">
        <x:v>info@axis-kenya.com</x:v>
      </x:c>
      <x:c r="H268" s="30" t="str">
        <x:f>IF(ISNUMBER(SEARCH(":1",AC268)),"已验证有效",IF(ISNUMBER(SEARCH(":3",AC268)),"验证不确定",IF(ISNUMBER(SEARCH(":0",AC268)),"接口未能检测",IF(ISNUMBER(SEARCH(":2",AC268)),"判定无效",IF(V268&lt;&gt;"","官网已确认-未验证","无邮箱")))))</x:f>
        <x:v>已验证有效</x:v>
      </x:c>
      <x:c r="I268" s="30" t="str">
        <x:v>+254 732 775590</x:v>
      </x:c>
      <x:c r="J268" s="30" t="str">
        <x:v>www.mabati.com</x:v>
      </x:c>
      <x:c r="K268" s="35" t="n">
        <x:f>ROUND((IF(H268="已验证有效",40,IF(V268&lt;&gt;"",20,0))+IF(ISNUMBER(SEARCH("状态1",Y268)),25,0)+IF(J268&lt;&gt;"",20,0)+IF(AA268&lt;&gt;"",15,0))/100,2)</x:f>
        <x:v>1</x:v>
      </x:c>
      <x:c r="L268" s="30" t="str">
        <x:v>待联系</x:v>
      </x:c>
      <x:c r="M268" s="30" t="str"/>
      <x:c r="N268" s="30" t="str">
        <x:v>PLOT NO1870/1/569 , APOLLO CENTRE ,  VALE CLOSE , RING ROAD</x:v>
      </x:c>
      <x:c r="O268" s="30" t="str"/>
      <x:c r="P268" s="30" t="str">
        <x:v>暂无经营范围信息</x:v>
      </x:c>
      <x:c r="Q268" s="32" t="n">
        <x:v>1</x:v>
      </x:c>
      <x:c r="R268" s="32" t="n">
        <x:v>1957</x:v>
      </x:c>
      <x:c r="S268" s="33" t="n">
        <x:v>0.0005</x:v>
      </x:c>
      <x:c r="T268" s="34" t="n">
        <x:v>45867.666666666664</x:v>
      </x:c>
      <x:c r="U268" s="30" t="str">
        <x:v>info@axis-kenya.com</x:v>
      </x:c>
      <x:c r="V268" s="30" t="str"/>
      <x:c r="W268" s="30" t="str">
        <x:v>+254 732 775590; +254 788 202020</x:v>
      </x:c>
      <x:c r="X268" s="30" t="str"/>
      <x:c r="Y268" s="30" t="str">
        <x:v>+254 732 775590:状态1/类型2/WhatsApp2; +254 788 202020:状态1/类型2/WhatsApp2</x:v>
      </x:c>
      <x:c r="Z268" s="30" t="str"/>
      <x:c r="AA268" s="30" t="str">
        <x:v>https://www.facebook.com/MabatiRollingMills; https://www.instagram.com/mrm_ltd; https://www.instagram.com/mrm_ltd_; https://www.linkedin.com/company/mrm---safal-group; https://twitter.com/MRM_Ltd; https://www.youtube.com/channel/UC6HrKGXqPHWUafXAsPiS2Nw/videos?view=0&amp;sort=dd&amp;shelf_id=0</x:v>
      </x:c>
      <x:c r="AB268" s="30" t="str"/>
      <x:c r="AC268" s="30" t="str">
        <x:v>info@axis-kenya.com:1</x:v>
      </x:c>
      <x:c r="AD268" s="30" t="str"/>
      <x:c r="AE268" s="30" t="str"/>
      <x:c r="AF268" s="30" t="str">
        <x:v>SUZHOU L.; TAPE_THREADING_WIDTH/TAPE_DIAMETER; SUZHOU L. CLARKE CORPRATION; PK; 10; 1; OK; 1; 1;  OTHER SELF-ADHESIVE PLATES, SHEETS, FILM, FOIL, TAPE, STRIP AND OTHER FLAT SHAPES, OF PLASTICS, WHETHER OR NOT IN ROLLS</x:v>
      </x:c>
      <x:c r="AG268" s="30" t="str"/>
      <x:c r="AH268" s="30" t="str"/>
      <x:c r="AI268" s="30" t="str"/>
      <x:c r="AJ268" s="30" t="str">
        <x:v>胶带</x:v>
      </x:c>
      <x:c r="AK268" s="30" t="str">
        <x:v>expansion-search-tape-page-02</x:v>
      </x:c>
      <x:c r="AL268" s="30" t="str">
        <x:v>UpKuajing customs company contact API</x:v>
      </x:c>
      <x:c r="AM268" s="30" t="str"/>
      <x:c r="AN268" s="30" t="str"/>
      <x:c r="AO268" s="34" t="n">
        <x:v>46220</x:v>
      </x:c>
    </x:row>
    <x:row r="269" ht="44" customHeight="1">
      <x:c r="A269" s="30" t="str">
        <x:v>API联系方式已获取</x:v>
      </x:c>
      <x:c r="B269" s="30" t="str">
        <x:v>常规-全球</x:v>
      </x:c>
      <x:c r="C269" s="30" t="str">
        <x:v>刷子</x:v>
      </x:c>
      <x:c r="D269" s="31" t="str">
        <x:v>20431219</x:v>
      </x:c>
      <x:c r="E269" s="30" t="str">
        <x:v>MANDARIN INTERNATIONAL PRIVATE LIMITED</x:v>
      </x:c>
      <x:c r="F269" s="30" t="str">
        <x:v>印度</x:v>
      </x:c>
      <x:c r="G269" s="30" t="str">
        <x:v>mandarin.international@yahoo.com</x:v>
      </x:c>
      <x:c r="H269" s="30" t="str">
        <x:f>IF(ISNUMBER(SEARCH(":1",AC269)),"已验证有效",IF(ISNUMBER(SEARCH(":3",AC269)),"验证不确定",IF(ISNUMBER(SEARCH(":0",AC269)),"接口未能检测",IF(ISNUMBER(SEARCH(":2",AC269)),"判定无效",IF(V269&lt;&gt;"","官网已确认-未验证","无邮箱")))))</x:f>
        <x:v>已验证有效</x:v>
      </x:c>
      <x:c r="I269" s="30" t="str">
        <x:v>+91 98255 65400</x:v>
      </x:c>
      <x:c r="J269" s="30" t="str">
        <x:v>www.mispares.in</x:v>
      </x:c>
      <x:c r="K269" s="35" t="n">
        <x:f>ROUND((IF(H269="已验证有效",40,IF(V269&lt;&gt;"",20,0))+IF(ISNUMBER(SEARCH("状态1",Y269)),25,0)+IF(J269&lt;&gt;"",20,0)+IF(AA269&lt;&gt;"",15,0))/100,2)</x:f>
        <x:v>0.85</x:v>
      </x:c>
      <x:c r="L269" s="30" t="str">
        <x:v>待联系</x:v>
      </x:c>
      <x:c r="M269" s="30" t="str"/>
      <x:c r="N269" s="30" t="str">
        <x:v>111, GROUND FLOOR , NAVSARJAN INDUSTRIAL SOCIETY , UDHNA MAGDALLA ROAD</x:v>
      </x:c>
      <x:c r="O269" s="30" t="str"/>
      <x:c r="P269" s="30" t="str">
        <x:v>暂无经营范围信息</x:v>
      </x:c>
      <x:c r="Q269" s="32" t="n">
        <x:v>1</x:v>
      </x:c>
      <x:c r="R269" s="32" t="n">
        <x:v>10214</x:v>
      </x:c>
      <x:c r="S269" s="33" t="n">
        <x:v>0.0001</x:v>
      </x:c>
      <x:c r="T269" s="34" t="n">
        <x:v>45691.666666666664</x:v>
      </x:c>
      <x:c r="U269" s="30" t="str">
        <x:v>mandarin.international@yahoo.com</x:v>
      </x:c>
      <x:c r="V269" s="30" t="str"/>
      <x:c r="W269" s="30" t="str">
        <x:v>+91 98255 65400</x:v>
      </x:c>
      <x:c r="X269" s="30" t="str"/>
      <x:c r="Y269" s="30" t="str">
        <x:v>+91 98255 65400:状态1/类型2/WhatsApp1</x:v>
      </x:c>
      <x:c r="Z269" s="30" t="str">
        <x:v>+91 98255 65400</x:v>
      </x:c>
      <x:c r="AA269" s="30" t="str"/>
      <x:c r="AB269" s="30" t="str"/>
      <x:c r="AC269" s="30" t="str">
        <x:v>mandarin.international@yahoo.com:1</x:v>
      </x:c>
      <x:c r="AD269" s="30" t="str">
        <x:v>Cleaning brush；Embroidery machine spare parts</x:v>
      </x:c>
      <x:c r="AE269" s="30" t="str">
        <x:v>Embroidery machine；Spare parts；Cleaning brush</x:v>
      </x:c>
      <x:c r="AF269" s="30" t="str">
        <x:v>(EMBROIDERY MACHINE SPARE PARTS) CLEANING BRUSH SMALL (686760 PCS)(EMBROIDERY MACHINE SPARE PARTS)</x:v>
      </x:c>
      <x:c r="AG269" s="30" t="str">
        <x:v>Brush for cleaning；Embroidery machine accessory；Machine cleaning brush；Embroidery machine component；Spare part for embroidery machine</x:v>
      </x:c>
      <x:c r="AH269" s="30" t="str">
        <x:v>塑料；金属；Bristles；Wood；橡胶</x:v>
      </x:c>
      <x:c r="AI269" s="30" t="str">
        <x:v>Embroidery factories；Textile workshops；Garment manufacturing plants；Craft studios；Home embroidery setups</x:v>
      </x:c>
      <x:c r="AJ269" s="30" t="str">
        <x:v>刷子</x:v>
      </x:c>
      <x:c r="AK269" s="30" t="str">
        <x:v>expansion-search-brush-page-04</x:v>
      </x:c>
      <x:c r="AL269" s="30" t="str">
        <x:v>UpKuajing customs company contact API</x:v>
      </x:c>
      <x:c r="AM269" s="30" t="str"/>
      <x:c r="AN269" s="30" t="str"/>
      <x:c r="AO269" s="34" t="n">
        <x:v>46220</x:v>
      </x:c>
    </x:row>
    <x:row r="270" ht="44" customHeight="1">
      <x:c r="A270" s="30" t="str">
        <x:v>API联系方式已获取</x:v>
      </x:c>
      <x:c r="B270" s="30" t="str">
        <x:v>常规-全球</x:v>
      </x:c>
      <x:c r="C270" s="30" t="str">
        <x:v>羊毛刷</x:v>
      </x:c>
      <x:c r="D270" s="31" t="str">
        <x:v>136624</x:v>
      </x:c>
      <x:c r="E270" s="30" t="str">
        <x:v>murray sales co</x:v>
      </x:c>
      <x:c r="F270" s="30" t="str">
        <x:v>未标明</x:v>
      </x:c>
      <x:c r="G270" s="30" t="str">
        <x:v>tw@mwsales.net</x:v>
      </x:c>
      <x:c r="H270" s="30" t="str">
        <x:f>IF(ISNUMBER(SEARCH(":1",AC270)),"已验证有效",IF(ISNUMBER(SEARCH(":3",AC270)),"验证不确定",IF(ISNUMBER(SEARCH(":0",AC270)),"接口未能检测",IF(ISNUMBER(SEARCH(":2",AC270)),"判定无效",IF(V270&lt;&gt;"","官网已确认-未验证","无邮箱")))))</x:f>
        <x:v>已验证有效</x:v>
      </x:c>
      <x:c r="I270" s="30" t="str"/>
      <x:c r="J270" s="30" t="str">
        <x:v>http://www.mwsales.net</x:v>
      </x:c>
      <x:c r="K270" s="35" t="n">
        <x:f>ROUND((IF(H270="已验证有效",40,IF(V270&lt;&gt;"",20,0))+IF(ISNUMBER(SEARCH("状态1",Y270)),25,0)+IF(J270&lt;&gt;"",20,0)+IF(AA270&lt;&gt;"",15,0))/100,2)</x:f>
        <x:v>0.6</x:v>
      </x:c>
      <x:c r="L270" s="30" t="str">
        <x:v>待联系</x:v>
      </x:c>
      <x:c r="M270" s="30" t="str"/>
      <x:c r="N270" s="30" t="str">
        <x:v>786 el pintado rd,danville,ca,94526,united states</x:v>
      </x:c>
      <x:c r="O270" s="30" t="str"/>
      <x:c r="P270" s="30" t="str">
        <x:v>诺埃尔、烘焙、、旅行护照、、、、手套、波浪形、午餐袋、番茄酱、膳食准备、75升、皮肤刷、硅胶厨具、西瓜、圆锥冰、鳄梨、木质包装、黄油棒</x:v>
      </x:c>
      <x:c r="Q270" s="32" t="n">
        <x:v>1</x:v>
      </x:c>
      <x:c r="R270" s="32" t="n">
        <x:v>2639</x:v>
      </x:c>
      <x:c r="S270" s="33" t="n">
        <x:v>0.0004</x:v>
      </x:c>
      <x:c r="T270" s="34" t="n">
        <x:v>45510.666666666664</x:v>
      </x:c>
      <x:c r="U270" s="30" t="str">
        <x:v>tw@mwsales.net</x:v>
      </x:c>
      <x:c r="V270" s="30" t="str"/>
      <x:c r="W270" s="30" t="str"/>
      <x:c r="X270" s="30" t="str"/>
      <x:c r="Y270" s="30" t="str"/>
      <x:c r="Z270" s="30" t="str"/>
      <x:c r="AA270" s="30" t="str"/>
      <x:c r="AB270" s="30" t="str"/>
      <x:c r="AC270" s="30" t="str">
        <x:v>tw@mwsales.net:1</x:v>
      </x:c>
      <x:c r="AD270" s="30" t="str"/>
      <x:c r="AE270" s="30" t="str">
        <x:v>刷子；esco；dryer vent；wool dryer ball</x:v>
      </x:c>
      <x:c r="AF270" s="30" t="str">
        <x:v>TELESCOPIC DRYER VENT BRUSH WOOL DRYER BALLS3PK</x:v>
      </x:c>
      <x:c r="AG270" s="30" t="str"/>
      <x:c r="AH270" s="30" t="str"/>
      <x:c r="AI270" s="30" t="str"/>
      <x:c r="AJ270" s="30" t="str">
        <x:v>羊毛刷</x:v>
      </x:c>
      <x:c r="AK270" s="30" t="str">
        <x:v>expansion-search-wool-brush-page-01</x:v>
      </x:c>
      <x:c r="AL270" s="30" t="str">
        <x:v>UpKuajing customs company contact API</x:v>
      </x:c>
      <x:c r="AM270" s="30" t="str"/>
      <x:c r="AN270" s="30" t="str"/>
      <x:c r="AO270" s="34" t="n">
        <x:v>46220</x:v>
      </x:c>
    </x:row>
    <x:row r="271" ht="44" customHeight="1">
      <x:c r="A271" s="30" t="str">
        <x:v>API联系方式已获取</x:v>
      </x:c>
      <x:c r="B271" s="30" t="str">
        <x:v>常规-全球</x:v>
      </x:c>
      <x:c r="C271" s="30" t="str">
        <x:v>PVC护角条</x:v>
      </x:c>
      <x:c r="D271" s="31" t="str">
        <x:v>29311325</x:v>
      </x:c>
      <x:c r="E271" s="30" t="str">
        <x:v>THANG LONG MEDICAL JOINT STOCK COMPANY</x:v>
      </x:c>
      <x:c r="F271" s="30" t="str">
        <x:v>越南</x:v>
      </x:c>
      <x:c r="G271" s="30" t="str">
        <x:v>hoinguyenthanhbm@gmail.com</x:v>
      </x:c>
      <x:c r="H271" s="30" t="str">
        <x:f>IF(ISNUMBER(SEARCH(":1",AC271)),"已验证有效",IF(ISNUMBER(SEARCH(":3",AC271)),"验证不确定",IF(ISNUMBER(SEARCH(":0",AC271)),"接口未能检测",IF(ISNUMBER(SEARCH(":2",AC271)),"判定无效",IF(V271&lt;&gt;"","官网已确认-未验证","无邮箱")))))</x:f>
        <x:v>已验证有效</x:v>
      </x:c>
      <x:c r="I271" s="30" t="str">
        <x:v>8435763699</x:v>
      </x:c>
      <x:c r="J271" s="30" t="str">
        <x:v>benhphoi.com</x:v>
      </x:c>
      <x:c r="K271" s="35" t="n">
        <x:f>ROUND((IF(H271="已验证有效",40,IF(V271&lt;&gt;"",20,0))+IF(ISNUMBER(SEARCH("状态1",Y271)),25,0)+IF(J271&lt;&gt;"",20,0)+IF(AA271&lt;&gt;"",15,0))/100,2)</x:f>
        <x:v>0.6</x:v>
      </x:c>
      <x:c r="L271" s="30" t="str">
        <x:v>待联系</x:v>
      </x:c>
      <x:c r="M271" s="30" t="str"/>
      <x:c r="N271" s="30" t="str">
        <x:v>25 TO 74 HOANG CAU, WARD O CHO DUA, DISTRICT DONG DA</x:v>
      </x:c>
      <x:c r="O271" s="30" t="str"/>
      <x:c r="P271" s="30" t="str">
        <x:v>暂无经营范围信息</x:v>
      </x:c>
      <x:c r="Q271" s="32" t="n">
        <x:v>1</x:v>
      </x:c>
      <x:c r="R271" s="32" t="n">
        <x:v>139</x:v>
      </x:c>
      <x:c r="S271" s="33" t="n">
        <x:v>0.0072</x:v>
      </x:c>
      <x:c r="T271" s="34" t="n">
        <x:v>46102.666666666664</x:v>
      </x:c>
      <x:c r="U271" s="30" t="str">
        <x:v>hoinguyenthanhbm@gmail.com; vphpvn.hp@gmail.com</x:v>
      </x:c>
      <x:c r="V271" s="30" t="str"/>
      <x:c r="W271" s="30" t="str">
        <x:v>8435763699</x:v>
      </x:c>
      <x:c r="X271" s="30" t="str"/>
      <x:c r="Y271" s="30" t="str">
        <x:v>8435763699:状态2/类型0/WhatsApp2</x:v>
      </x:c>
      <x:c r="Z271" s="30" t="str"/>
      <x:c r="AA271" s="30" t="str"/>
      <x:c r="AB271" s="30" t="str"/>
      <x:c r="AC271" s="30" t="str">
        <x:v>hoinguyenthanhbm@gmail.com:1; vphpvn.hp@gmail.com:0</x:v>
      </x:c>
      <x:c r="AD271" s="30" t="str"/>
      <x:c r="AE271" s="30" t="str"/>
      <x:c r="AF271" s="30" t="str">
        <x:v>PVC corner protector strip model HS-605B, 3m long, 2mm thick, 52*52mm wide, for construction use, ZS brand. 100% brand new</x:v>
      </x:c>
      <x:c r="AG271" s="30" t="str"/>
      <x:c r="AH271" s="30" t="str"/>
      <x:c r="AI271" s="30" t="str"/>
      <x:c r="AJ271" s="30" t="str">
        <x:v>PVC护角条</x:v>
      </x:c>
      <x:c r="AK271" s="30" t="str">
        <x:v>expansion-search-pvc-corner-protector-page-01</x:v>
      </x:c>
      <x:c r="AL271" s="30" t="str">
        <x:v>UpKuajing customs company contact API</x:v>
      </x:c>
      <x:c r="AM271" s="30" t="str"/>
      <x:c r="AN271" s="30" t="str"/>
      <x:c r="AO271" s="34" t="n">
        <x:v>46220</x:v>
      </x:c>
    </x:row>
    <x:row r="272" ht="44" customHeight="1">
      <x:c r="A272" s="30" t="str">
        <x:v>API联系方式已获取</x:v>
      </x:c>
      <x:c r="B272" s="30" t="str">
        <x:v>常规-全球</x:v>
      </x:c>
      <x:c r="C272" s="30" t="str">
        <x:v>羊毛刷</x:v>
      </x:c>
      <x:c r="D272" s="31" t="str">
        <x:v>20423323</x:v>
      </x:c>
      <x:c r="E272" s="30" t="str">
        <x:v>TRUPER SA DE CV</x:v>
      </x:c>
      <x:c r="F272" s="30" t="str">
        <x:v>墨西哥</x:v>
      </x:c>
      <x:c r="G272" s="30" t="str">
        <x:v>informacion@truper.com</x:v>
      </x:c>
      <x:c r="H272" s="30" t="str">
        <x:f>IF(ISNUMBER(SEARCH(":1",AC272)),"已验证有效",IF(ISNUMBER(SEARCH(":3",AC272)),"验证不确定",IF(ISNUMBER(SEARCH(":0",AC272)),"接口未能检测",IF(ISNUMBER(SEARCH(":2",AC272)),"判定无效",IF(V272&lt;&gt;"","官网已确认-未验证","无邮箱")))))</x:f>
        <x:v>已验证有效</x:v>
      </x:c>
      <x:c r="I272" s="30" t="str">
        <x:v>+52 444 822 4342</x:v>
      </x:c>
      <x:c r="J272" s="30" t="str">
        <x:v>www.truper.com.mx</x:v>
      </x:c>
      <x:c r="K272" s="35" t="n">
        <x:f>ROUND((IF(H272="已验证有效",40,IF(V272&lt;&gt;"",20,0))+IF(ISNUMBER(SEARCH("状态1",Y272)),25,0)+IF(J272&lt;&gt;"",20,0)+IF(AA272&lt;&gt;"",15,0))/100,2)</x:f>
        <x:v>1</x:v>
      </x:c>
      <x:c r="L272" s="30" t="str">
        <x:v>待联系</x:v>
      </x:c>
      <x:c r="M272" s="30" t="str"/>
      <x:c r="N272" s="30" t="str">
        <x:v>PERIFERICO ECOLOGICO LATERAL OTRA (ESPECIFICAR) OTRA (ESPECIFICAR) OTRA (ESPECIFICAR) 2 A  0</x:v>
      </x:c>
      <x:c r="O272" s="30" t="str"/>
      <x:c r="P272" s="30" t="str">
        <x:v>暂无经营范围信息</x:v>
      </x:c>
      <x:c r="Q272" s="32" t="n">
        <x:v>1</x:v>
      </x:c>
      <x:c r="R272" s="32" t="n">
        <x:v>278045</x:v>
      </x:c>
      <x:c r="S272" s="33" t="n">
        <x:v>0</x:v>
      </x:c>
      <x:c r="T272" s="34" t="n">
        <x:v>45517.666666666664</x:v>
      </x:c>
      <x:c r="U272" s="30" t="str">
        <x:v>informacion@truper.com</x:v>
      </x:c>
      <x:c r="V272" s="30" t="str"/>
      <x:c r="W272" s="30" t="str">
        <x:v>+52 444 822 4342</x:v>
      </x:c>
      <x:c r="X272" s="30" t="str"/>
      <x:c r="Y272" s="30" t="str">
        <x:v>+52 444 822 4342:状态1/类型3/WhatsApp2</x:v>
      </x:c>
      <x:c r="Z272" s="30" t="str"/>
      <x:c r="AA272" s="30" t="str">
        <x:v>https://www.facebook.com/TruperOficial; https://www.linkedin.com/company/truper-herramientas?originalSubdomain=mx; https://twitter.com/Truper; https://www.youtube.com/user/TRUPERMEXICO</x:v>
      </x:c>
      <x:c r="AB272" s="30" t="str"/>
      <x:c r="AC272" s="30" t="str">
        <x:v>informacion@truper.com:1</x:v>
      </x:c>
      <x:c r="AD272" s="30" t="str">
        <x:v>Wool Brush for Polisher</x:v>
      </x:c>
      <x:c r="AE272" s="30" t="str">
        <x:v>Wool；刷子；Polisher</x:v>
      </x:c>
      <x:c r="AF272" s="30" t="str">
        <x:v>BORLA DE LANA DE REPUESTO PARA PULIDORA PULA 6AM</x:v>
      </x:c>
      <x:c r="AG272" s="30" t="str">
        <x:v>Wool Polishing Brush；Polishing Wool Brush；Wool Brush for Grinding；Grinding Wool Brush；Wool Polisher Brush</x:v>
      </x:c>
      <x:c r="AH272" s="30" t="str">
        <x:v>Wool；Brush Bristles；Brush Handle；Polishing Materials；Manufacturing Raw Materials</x:v>
      </x:c>
      <x:c r="AI272" s="30" t="str">
        <x:v>Automobile Polishing；Furniture Polishing；Metal Polishing；Wood Polishing；Plastic Polishing</x:v>
      </x:c>
      <x:c r="AJ272" s="30" t="str">
        <x:v>羊毛刷</x:v>
      </x:c>
      <x:c r="AK272" s="30" t="str">
        <x:v>expansion-search-wool-brush-page-03</x:v>
      </x:c>
      <x:c r="AL272" s="30" t="str">
        <x:v>UpKuajing customs company contact API</x:v>
      </x:c>
      <x:c r="AM272" s="30" t="str"/>
      <x:c r="AN272" s="30" t="str"/>
      <x:c r="AO272" s="34" t="n">
        <x:v>46220</x:v>
      </x:c>
    </x:row>
    <x:row r="273" ht="44" customHeight="1">
      <x:c r="A273" s="30" t="str">
        <x:v>API联系方式已获取</x:v>
      </x:c>
      <x:c r="B273" s="30" t="str">
        <x:v>常规-全球</x:v>
      </x:c>
      <x:c r="C273" s="30" t="str">
        <x:v>羊毛刷</x:v>
      </x:c>
      <x:c r="D273" s="31" t="str">
        <x:v>1927965</x:v>
      </x:c>
      <x:c r="E273" s="30" t="str">
        <x:v>tổng công ty cổ phần khoan và dịch vụ khoan dầu khí</x:v>
      </x:c>
      <x:c r="F273" s="30" t="str">
        <x:v>越南</x:v>
      </x:c>
      <x:c r="G273" s="30" t="str">
        <x:v>info@pvdrilling.com.vn</x:v>
      </x:c>
      <x:c r="H273" s="30" t="str">
        <x:f>IF(ISNUMBER(SEARCH(":1",AC273)),"已验证有效",IF(ISNUMBER(SEARCH(":3",AC273)),"验证不确定",IF(ISNUMBER(SEARCH(":0",AC273)),"接口未能检测",IF(ISNUMBER(SEARCH(":2",AC273)),"判定无效",IF(V273&lt;&gt;"","官网已确认-未验证","无邮箱")))))</x:f>
        <x:v>已验证有效</x:v>
      </x:c>
      <x:c r="I273" s="30" t="str">
        <x:v>+84 839 142 012</x:v>
      </x:c>
      <x:c r="J273" s="30" t="str">
        <x:v>www.pvdrilling.com.vn</x:v>
      </x:c>
      <x:c r="K273" s="35" t="n">
        <x:f>ROUND((IF(H273="已验证有效",40,IF(V273&lt;&gt;"",20,0))+IF(ISNUMBER(SEARCH("状态1",Y273)),25,0)+IF(J273&lt;&gt;"",20,0)+IF(AA273&lt;&gt;"",15,0))/100,2)</x:f>
        <x:v>0.85</x:v>
      </x:c>
      <x:c r="L273" s="30" t="str">
        <x:v>待联系</x:v>
      </x:c>
      <x:c r="M273" s="30" t="str"/>
      <x:c r="N273" s="30" t="str">
        <x:v>SAILING TOWER, 4TH FLOOR , 111A, PASTEUR STREET, BEN NGHE WARD, DISTRICT 1</x:v>
      </x:c>
      <x:c r="O273" s="30" t="str"/>
      <x:c r="P273" s="30" t="str">
        <x:v>钻井和油井服务</x:v>
      </x:c>
      <x:c r="Q273" s="32" t="n">
        <x:v>1</x:v>
      </x:c>
      <x:c r="R273" s="32" t="n">
        <x:v>26164</x:v>
      </x:c>
      <x:c r="S273" s="33" t="n">
        <x:v>0</x:v>
      </x:c>
      <x:c r="T273" s="34" t="n">
        <x:v>45915.666666666664</x:v>
      </x:c>
      <x:c r="U273" s="30" t="str">
        <x:v>info@pvdrilling.com.vn</x:v>
      </x:c>
      <x:c r="V273" s="30" t="str"/>
      <x:c r="W273" s="30" t="str">
        <x:v>+84 839 142 012</x:v>
      </x:c>
      <x:c r="X273" s="30" t="str"/>
      <x:c r="Y273" s="30" t="str">
        <x:v>+84 839 142 012:状态1/类型2/WhatsApp2</x:v>
      </x:c>
      <x:c r="Z273" s="30" t="str"/>
      <x:c r="AA273" s="30" t="str"/>
      <x:c r="AB273" s="30" t="str"/>
      <x:c r="AC273" s="30" t="str">
        <x:v>info@pvdrilling.com.vn:1</x:v>
      </x:c>
      <x:c r="AD273" s="30" t="str">
        <x:v>Steel wool brush；Hexagonal nut</x:v>
      </x:c>
      <x:c r="AE273" s="30" t="str">
        <x:v>Steel；刷子；Nut；Connection；Hub</x:v>
      </x:c>
      <x:c r="AF273" s="30" t="str">
        <x:v>Bu lông toàn ren bằng thép. kích thước 1-1/8'-8UN-2A x 11', kèm 2 đai ốc lục giác ASTM A194 Gr. 2H,dùng cho kết nối Hub API 16B và 16BX. Hàng mới 100%</x:v>
      </x:c>
      <x:c r="AG273" s="30" t="str">
        <x:v>Wire brush；Metal brush；Hex nut；Six - sided nut；Steel nut</x:v>
      </x:c>
      <x:c r="AH273" s="30" t="str">
        <x:v>Iron ore；Carbon；Alloying elements；Steel billet；Steel bar</x:v>
      </x:c>
      <x:c r="AI273" s="30" t="str">
        <x:v>Pipeline system；Mechanical equipment；Construction project；Automobile manufacturing；Shipbuilding</x:v>
      </x:c>
      <x:c r="AJ273" s="30" t="str">
        <x:v>羊毛刷</x:v>
      </x:c>
      <x:c r="AK273" s="30" t="str">
        <x:v>expansion-search-wool-brush-page-03</x:v>
      </x:c>
      <x:c r="AL273" s="30" t="str">
        <x:v>UpKuajing customs company contact API</x:v>
      </x:c>
      <x:c r="AM273" s="30" t="str"/>
      <x:c r="AN273" s="30" t="str"/>
      <x:c r="AO273" s="34" t="n">
        <x:v>46220</x:v>
      </x:c>
    </x:row>
    <x:row r="274" ht="44" customHeight="1">
      <x:c r="A274" s="30" t="str">
        <x:v>API联系方式已获取</x:v>
      </x:c>
      <x:c r="B274" s="30" t="str">
        <x:v>常规-全球</x:v>
      </x:c>
      <x:c r="C274" s="30" t="str">
        <x:v>羊毛刷</x:v>
      </x:c>
      <x:c r="D274" s="31" t="str">
        <x:v>30282883</x:v>
      </x:c>
      <x:c r="E274" s="30" t="str">
        <x:v>VALTA PET PRODUCTS</x:v>
      </x:c>
      <x:c r="F274" s="30" t="str">
        <x:v>俄罗斯</x:v>
      </x:c>
      <x:c r="G274" s="30" t="str">
        <x:v>info@valta.ru</x:v>
      </x:c>
      <x:c r="H274" s="30" t="str">
        <x:f>IF(ISNUMBER(SEARCH(":1",AC274)),"已验证有效",IF(ISNUMBER(SEARCH(":3",AC274)),"验证不确定",IF(ISNUMBER(SEARCH(":0",AC274)),"接口未能检测",IF(ISNUMBER(SEARCH(":2",AC274)),"判定无效",IF(V274&lt;&gt;"","官网已确认-未验证","无邮箱")))))</x:f>
        <x:v>已验证有效</x:v>
      </x:c>
      <x:c r="I274" s="30" t="str">
        <x:v>+7 341 256-56-90</x:v>
      </x:c>
      <x:c r="J274" s="30" t="str">
        <x:v>valta.ru</x:v>
      </x:c>
      <x:c r="K274" s="35" t="n">
        <x:f>ROUND((IF(H274="已验证有效",40,IF(V274&lt;&gt;"",20,0))+IF(ISNUMBER(SEARCH("状态1",Y274)),25,0)+IF(J274&lt;&gt;"",20,0)+IF(AA274&lt;&gt;"",15,0))/100,2)</x:f>
        <x:v>1</x:v>
      </x:c>
      <x:c r="L274" s="30" t="str">
        <x:v>待联系</x:v>
      </x:c>
      <x:c r="M274" s="30" t="str"/>
      <x:c r="N274" s="30" t="str">
        <x:v>VARSHAVSKOE SH D. 42</x:v>
      </x:c>
      <x:c r="O274" s="30" t="str"/>
      <x:c r="P274" s="30" t="str">
        <x:v>生物及医药产品；植物药和草药；和医药产品</x:v>
      </x:c>
      <x:c r="Q274" s="32" t="n">
        <x:v>1</x:v>
      </x:c>
      <x:c r="R274" s="32" t="n">
        <x:v>104</x:v>
      </x:c>
      <x:c r="S274" s="33" t="n">
        <x:v>0.0096</x:v>
      </x:c>
      <x:c r="T274" s="34" t="n">
        <x:v>45490.666666666664</x:v>
      </x:c>
      <x:c r="U274" s="30" t="str">
        <x:v>anna_grigorieva@valta.ru; anton_tomashuk@valta.ru; arh@valta.ru; ashcarry@valta.ru; borzovaav@valta.ru; botanick24@gmail.ru; cashcarry@valta.ru; cc-spb@valta.ru; chel@valta.ru; dedukhas@valta.ru; ekb@valta.ru; elena_pikunova@valta.ru; gaydaburaon@valtacr.ru; guzeliya_davletshina@valta.ru; indira_safaeva@valta.ru; info186@bk.ru; info@valta.ru; irina_davletshina@valta.ru; irina_filippova@valta.ru; irk@valta.ru; ivan_kovtun@valta.ru; izhevsk@valta.ru; kazan@valta.ru; kem@valta.ru; kemerovo@valta.ru; khab@valta.ru; kld@valta.ru; krd@valta.ru; krym@valtacr.ru; ksenia_obuhova@valta.ru; larisa_nikitina@valta.ru; lymarevrs@valta.ru; maria_saperova@valta.ru; matvienkooe@valta.ru; mehonoshinmm@valta.ru; nalivaikomn@valta.ru; natalia_grehova@valta.ru; natalia_troshina@valta.ru; nikita_titov@valta.ru; nn@valta.ru; novakif@valta.ru; nsk@valta.ru; olga_izyumskaya@valta.ru; olga_korneeva@valta.ru; omsk@valta.ru; perm@valta.ru; pleshkanvo@valta.ru; regina_shaydullina@valta.ru; rostov@valta.ru; ryazan@valta.ru; samara@valta.ru; saratov@valta.ru; saratov@valtacr.ru; sergey_ivanov@valta.ru; spb@valta.ru; suchkovaay@valta.ru; svetlana_prohorova@valta.ru; tula@valta.ru; tver@valta.ru; valentina_demidova@valta.ru; valeria_urakova@valta.ru; vecherovaoi@valta.ru; vl@valta.ru; vlg@valta.ru; voronovaya@valtacr.ru; vrn@valta.ru; yar@valta.ru; yulia_sokolova@valta.ru; yulia_surmach@valta.ru; zoo@fenstertech.ru</x:v>
      </x:c>
      <x:c r="V274" s="30" t="str"/>
      <x:c r="W274" s="30" t="str">
        <x:v>2304465; +7 341 256-56-90; +7 342 207-90-30; +7 343 385-72-50; +7 343 385-72-51; +7 343 385-72-52; +7 383 399-11-34; +7 383 399-11-35; 7383399119; +7 383 399-11-90; +7 384 245-26-69; +7 395 250-34-72; +7 395 250-34-73; +7 401 252-34-72; +7 421 254-21-12; +7 421 254-21-33; +7 423 205-34-02; +7 473 202-09-24; +7 473 202-09-27; +7 473 202-09-32; +7 482 269-13-88; +7 483 230-85-55; 74852; 748526; +7 485 268-42-86; +7 491 262-55-33; +7 495 775-78-06; +7 495 787-92-90; +7 495 797-34-72; +7 495 797-34-73; +7 495 967-12-47; +7 812 649-77-81; +7 812 649-77-84; +7 818 242-34-72; +7 831 216-33-44; +7 831 281-42-01; +7 831 281-42-02; +7 831 281-42-03; +7 843 200-07-51; 7843202; +7 843 202-07-51; +7 843 202-07-52; +7 846 374-34-72; +7 846 374-34-74; 7863230446; +7 863 230-44-63; +7 863 230-44-65; +7 910 231-05-08; +7 910 250-08-58; +7 910 671-80-51; +7 910 750-06-37; +7 910 789-10-06; +7 910 948-90-20; +7 912 734-11-17; +7 913 235-11-85; +7 913 663-34-72; +7 914 700-93-07; +7 915 680-14-99; +7 917 252-60-69; +7 917 267-42-49; +7 917 370-03-69; +7 917 620-02-42; +7 917 820-37-79; +7 917 956-81-12; +7 918 343-21-21; +7 918 400-01-84; +7 919 138-03-04; +7 919 281-62-02; +7 919 657-99-67; 79201; +7 920 123-02-87; +7 920 123-31-02; +7 920 656-16-96; +7 921 034-50-35; +7 923 309-57-39; +7 926 090-44-14; +7 926 296-61-64; 79301; +7 930 132-42-86; +7 937 734-34-72; +7 950 714-11-68; +7 953 960-61-30; 79624; +7 962 446-37-19; +7 978 997-34-32; +7 980 720-12-17; +7 981 707-95-70; +7 983 153-39-45; +7 983 163-63-09; +7 987 041-64-70; +7 987 100-27-71; +7 987 520-24-43; +7 987 810-18-14; +7 987 847-27-32; +7 988 240-01-65; 79883; +7 988 347-80-81; +7 988 480-10-14; +7 989 142-00-10; +7 992 360-90-92; 83512182555; 83512230725; 84232053402; 88182423472; 89115646036; 89118901311; 89138600352; 89191105885; 89243050939; 89815531277; 89827777759</x:v>
      </x:c>
      <x:c r="X274" s="30" t="str"/>
      <x:c r="Y274" s="30" t="str">
        <x:v>2304465:状态2/类型0/WhatsApp2; +7 341 256-56-90:状态1/类型1/WhatsApp2; +7 342 207-90-30:状态1/类型1/WhatsApp2; +7 343 385-72-50:状态1/类型1/WhatsApp2; +7 343 385-72-51:状态1/类型1/WhatsApp2; +7 343 385-72-52:状态1/类型1/WhatsApp2; +7 383 399-11-34:状态1/类型1/WhatsApp2; +7 383 399-11-35:状态1/类型1/WhatsApp2; 7383399119:状态2/类型0/WhatsApp2; +7 383 399-11-90:状态1/类型1/WhatsApp2; +7 384 245-26-69:状态1/类型1/WhatsApp2; +7 395 250-34-72:状态1/类型1/WhatsApp2; +7 395 250-34-73:状态1/类型1/WhatsApp2; +7 401 252-34-72:状态1/类型1/WhatsApp2; +7 421 254-21-12:状态1/类型1/WhatsApp2; +7 421 254-21-33:状态1/类型1/WhatsApp2; +7 423 205-34-02:状态1/类型1/WhatsApp2; +7 473 202-09-24:状态1/类型1/WhatsApp2; +7 473 202-09-27:状态1/类型1/WhatsApp2; +7 473 202-09-32:状态1/类型1/WhatsApp2; +7 482 269-13-88:状态1/类型1/WhatsApp2; +7 483 230-85-55:状态1/类型1/WhatsApp2; 74852:状态2/类型0/WhatsApp2; 748526:状态2/类型0/WhatsApp2; +7 485 268-42-86:状态1/类型1/WhatsApp2; +7 491 262-55-33:状态1/类型1/WhatsApp2; +7 495 775-78-06:状态1/类型1/WhatsApp2; +7 495 787-92-90:状态1/类型1/WhatsApp2; +7 495 797-34-72:状态1/类型1/WhatsApp2; +7 495 797-34-73:状态1/类型1/WhatsApp2; +7 495 967-12-47:状态1/类型1/WhatsApp2; +7 812 649-77-81:状态1/类型1/WhatsApp2; +7 812 649-77-84:状态1/类型1/WhatsApp2; +7 818 242-34-72:状态1/类型1/WhatsApp2; +7 831 216-33-44:状态1/类型1/WhatsApp2; +7 831 281-42-01:状态1/类型1/WhatsApp2; +7 831 281-42-02:状态1/类型1/WhatsApp2; +7 831 281-42-03:状态1/类型1/WhatsApp2; +7 843 200-07-51:状态1/类型1/WhatsApp2; 7843202:状态2/类型0/WhatsApp2; +7 843 202-07-51:状态1/类型1/WhatsApp2; +7 843 202-07-52:状态1/类型1/WhatsApp2; +7 846 374-34-72:状态1/类型1/WhatsApp2; +7 846 374-34-74:状态1/类型1/WhatsApp2; 7863230446:状态2/类型0/WhatsApp2; +7 863 230-44-63:状态1/类型1/WhatsApp2; +7 863 230-44-65:状态1/类型1/WhatsApp2; +7 910 231-05-08:状态1/类型2/WhatsApp1; +7 910 250-08-58:状态1/类型2/WhatsApp1; +7 910 671-80-51:状态1/类型2/WhatsApp1; +7 910 750-06-37:状态1/类型2/WhatsApp1; +7 910 789-10-06:状态1/类型2/WhatsApp2; +7 910 948-90-20:状态1/类型2/WhatsApp1; +7 912 734-11-17:状态1/类型2/WhatsApp2; +7 913 235-11-85:状态1/类型2/WhatsApp1; +7 913 663-34-72:状态1/类型2/WhatsApp2; +7 914 700-93-07:状态1/类型2/WhatsApp2; +7 915 680-14-99:状态1/类型2/WhatsApp1; +7 917 252-60-69:状态1/类型2/WhatsApp1; +7 917 267-42-49:状态1/类型2/WhatsApp1; +7 917 370-03-69:状态1/类型2/WhatsApp1; +7 917 620-02-42:状态1/类型2/WhatsApp1; +7 917 820-37-79:状态1/类型2/WhatsApp1; +7 917 956-81-12:状态1/类型2/WhatsApp1; +7 918 343-21-21:状态1/类型2/WhatsApp1; +7 918 400-01-84:状态1/类型2/WhatsApp1; +7 919 138-03-04:状态1/类型2/WhatsApp1; +7 919 281-62-02:状态1/类型2/WhatsApp1; +7 919 657-99-67:状态1/类型2/WhatsApp1; 79201:状态2/类型0/WhatsApp2; +7 920 123-02-87:状态1/类型2/WhatsApp1; +7 920 123-31-02:状态1/类型2/WhatsApp1; +7 920 656-16-96:状态1/类型2/WhatsApp2; +7 921 034-50-35:状态1/类型2/WhatsApp1; +7 923 309-57-39:状态1/类型2/WhatsApp2; +7 926 090-44-14:状态1/类型2/WhatsApp1; +7 926 296-61-64:状态1/类型2/WhatsApp1; 79301:状态2/类型0/WhatsApp2; +7 930 132-42-86:状态1/类型2/WhatsApp2; +7 937 734-34-72:状态1/类型2/WhatsApp2; +7 950 714-11-68:状态1/类型2/WhatsApp1; +7 953 960-61-30:状态1/类型2/WhatsApp1; 79624:状态2/类型0/WhatsApp2; +7 962 446-37-19:状态1/类型2/WhatsApp1; +7 978 997-34-32:状态1/类型2/WhatsApp2; +7 980 720-12-17:状态1/类型2/WhatsApp1; +7 981 707-95-70:状态1/类型2/WhatsApp1; +7 983 153-39-45:状态1/类型2/WhatsApp1; +7 983 163-63-09:状态1/类型2/WhatsApp2; +7 987 041-64-70:状态1/类型2/WhatsApp1; +7 987 100-27-71:状态1/类型2/WhatsApp1; +7 987 520-24-43:状态1/类型2/WhatsApp1; +7 987 810-18-14:状态1/类型2/WhatsApp1; +7 987 847-27-32:状态1/类型2/WhatsApp1; +7 988 240-01-65:状态1/类型2/WhatsApp1; 79883:状态2/类型0/WhatsApp2; +7 988 347-80-81:状态1/类型2/WhatsApp1; +7 988 480-10-14:状态1/类型2/WhatsApp1; +7 989 142-00-10:状态1/类型2/WhatsApp1; +7 992 360-90-92:状态1/类型2/WhatsApp1; 83512182555:状态2/类型0/WhatsApp2; 83512230725:状态2/类型0/WhatsApp2; 84232053402:状态2/类型0/WhatsApp2; 88182423472:状态2/类型0/WhatsApp2; 89115646036:状态2/类型0/WhatsApp2; 89118901311:状态2/类型0/WhatsApp2; 89138600352:状态2/类型0/WhatsApp2; 89191105885:状态2/类型0/WhatsApp2; 89243050939:状态2/类型0/WhatsApp2; 89815531277:状态2/类型0/WhatsApp2; 89827777759:状态2/类型0/WhatsApp2</x:v>
      </x:c>
      <x:c r="Z274" s="30" t="str">
        <x:v>+7 910 231-05-08; +7 910 250-08-58; +7 910 671-80-51; +7 910 750-06-37; +7 910 948-90-20; +7 913 235-11-85; +7 915 680-14-99; +7 917 252-60-69; +7 917 267-42-49; +7 917 370-03-69; +7 917 620-02-42; +7 917 820-37-79; +7 917 956-81-12; +7 918 343-21-21; +7 918 400-01-84; +7 919 138-03-04; +7 919 281-62-02; +7 919 657-99-67; +7 920 123-02-87; +7 920 123-31-02; +7 921 034-50-35; +7 926 090-44-14; +7 926 296-61-64; +7 950 714-11-68; +7 953 960-61-30; +7 962 446-37-19; +7 980 720-12-17; +7 981 707-95-70; +7 983 153-39-45; +7 987 041-64-70; +7 987 100-27-71; +7 987 520-24-43; +7 987 810-18-14; +7 987 847-27-32; +7 988 240-01-65; +7 988 347-80-81; +7 988 480-10-14; +7 989 142-00-10; +7 992 360-90-92</x:v>
      </x:c>
      <x:c r="AA274" s="30" t="str">
        <x:v>https://www.youtube.com/user/vppvideo</x:v>
      </x:c>
      <x:c r="AB274" s="30" t="str"/>
      <x:c r="AC274" s="30" t="str">
        <x:v>anna_grigorieva@valta.ru:0; anton_tomashuk@valta.ru:0; arh@valta.ru:0; ashcarry@valta.ru:0; borzovaav@valta.ru:0; botanick24@gmail.ru:0; cashcarry@valta.ru:0; cc-spb@valta.ru:0; chel@valta.ru:0; dedukhas@valta.ru:0; ekb@valta.ru:0; elena_pikunova@valta.ru:0; gaydaburaon@valtacr.ru:0; guzeliya_davletshina@valta.ru:0; indira_safaeva@valta.ru:0; info186@bk.ru:0; info@valta.ru:1; irina_davletshina@valta.ru:0; irina_filippova@valta.ru:0; irk@valta.ru:0; ivan_kovtun@valta.ru:0; izhevsk@valta.ru:0; kazan@valta.ru:0; kem@valta.ru:0; kemerovo@valta.ru:0; khab@valta.ru:0; kld@valta.ru:0; krd@valta.ru:0; krym@valtacr.ru:0; ksenia_obuhova@valta.ru:0; larisa_nikitina@valta.ru:0; lymarevrs@valta.ru:0; maria_saperova@valta.ru:0; matvienkooe@valta.ru:0; mehonoshinmm@valta.ru:0; nalivaikomn@valta.ru:0; natalia_grehova@valta.ru:0; natalia_troshina@valta.ru:0; nikita_titov@valta.ru:0; nn@valta.ru:0; novakif@valta.ru:0; nsk@valta.ru:0; olga_izyumskaya@valta.ru:0; olga_korneeva@valta.ru:0; omsk@valta.ru:0; perm@valta.ru:0; pleshkanvo@valta.ru:0; regina_shaydullina@valta.ru:0; rostov@valta.ru:0; ryazan@valta.ru:0; samara@valta.ru:0; saratov@valta.ru:0; saratov@valtacr.ru:0; sergey_ivanov@valta.ru:0; spb@valta.ru:0; suchkovaay@valta.ru:0; svetlana_prohorova@valta.ru:0; tula@valta.ru:0; tver@valta.ru:0; valentina_demidova@valta.ru:0; valeria_urakova@valta.ru:0; vecherovaoi@valta.ru:0; vl@valta.ru:0; vlg@valta.ru:0; voronovaya@valtacr.ru:0; vrn@valta.ru:0; yar@valta.ru:0; yulia_sokolova@valta.ru:0; yulia_surmach@valta.ru:0; zoo@fenstertech.ru:0</x:v>
      </x:c>
      <x:c r="AD274" s="30" t="str">
        <x:v>ISB Slicker Brush；IV SAN BERNARD Dermobrush</x:v>
      </x:c>
      <x:c r="AE274" s="30" t="str">
        <x:v>刷子；Slicker；Dermobrush；Wool care</x:v>
      </x:c>
      <x:c r="AF274" s="30" t="str">
        <x:v>ISB SLICKER BRUSH PROFESSIONAL SLIKER, SMALL; ISB SLICKER BRUSH ROUND PROFESSIONAL SLIKER OVAL, AVERAGE; THE BRUSH OF IV SAN BERNARD DERMOBRUSH FOR CARE FOR WOOL "LEBEDINOYE OZERO"; ISB SLICKER BRUSH PROFESSIONAL SLIKER, BIG; THE BRUSH OF IV SAN BERNAR...</x:v>
      </x:c>
      <x:c r="AG274" s="30" t="str">
        <x:v>Pet brush；Grooming brush；Fur brush；Hair brush；羊毛刷</x:v>
      </x:c>
      <x:c r="AH274" s="30" t="str">
        <x:v>塑料；Wood；金属；Bristles；Handle material</x:v>
      </x:c>
      <x:c r="AI274" s="30" t="str">
        <x:v>Pet grooming；Wool processing；Animal care；Fur cleaning；Hair styling</x:v>
      </x:c>
      <x:c r="AJ274" s="30" t="str">
        <x:v>羊毛刷</x:v>
      </x:c>
      <x:c r="AK274" s="30" t="str">
        <x:v>expansion-search-wool-brush-page-03</x:v>
      </x:c>
      <x:c r="AL274" s="30" t="str">
        <x:v>UpKuajing customs company contact API</x:v>
      </x:c>
      <x:c r="AM274" s="30" t="str"/>
      <x:c r="AN274" s="30" t="str"/>
      <x:c r="AO274" s="34" t="n">
        <x:v>46220</x:v>
      </x:c>
    </x:row>
    <x:row r="275" ht="44" customHeight="1">
      <x:c r="A275" s="30" t="str">
        <x:v>API联系方式已获取</x:v>
      </x:c>
      <x:c r="B275" s="30" t="str">
        <x:v>常规-全球</x:v>
      </x:c>
      <x:c r="C275" s="30" t="str">
        <x:v>遮蔽膜</x:v>
      </x:c>
      <x:c r="D275" s="31" t="str">
        <x:v>20230375</x:v>
      </x:c>
      <x:c r="E275" s="30" t="str">
        <x:v>WUERTH INDIA PRIVATE LIMITED</x:v>
      </x:c>
      <x:c r="F275" s="30" t="str">
        <x:v>印度</x:v>
      </x:c>
      <x:c r="G275" s="30" t="str">
        <x:v>jatin.shah@wuerth.in</x:v>
      </x:c>
      <x:c r="H275" s="30" t="str">
        <x:f>IF(ISNUMBER(SEARCH(":1",AC275)),"已验证有效",IF(ISNUMBER(SEARCH(":3",AC275)),"验证不确定",IF(ISNUMBER(SEARCH(":0",AC275)),"接口未能检测",IF(ISNUMBER(SEARCH(":2",AC275)),"判定无效",IF(V275&lt;&gt;"","官网已确认-未验证","无邮箱")))))</x:f>
        <x:v>已验证有效</x:v>
      </x:c>
      <x:c r="I275" s="30" t="str">
        <x:v>+49 7940 152400</x:v>
      </x:c>
      <x:c r="J275" s="30" t="str">
        <x:v>www.wuerth.in</x:v>
      </x:c>
      <x:c r="K275" s="35" t="n">
        <x:f>ROUND((IF(H275="已验证有效",40,IF(V275&lt;&gt;"",20,0))+IF(ISNUMBER(SEARCH("状态1",Y275)),25,0)+IF(J275&lt;&gt;"",20,0)+IF(AA275&lt;&gt;"",15,0))/100,2)</x:f>
        <x:v>0.85</x:v>
      </x:c>
      <x:c r="L275" s="30" t="str">
        <x:v>待联系</x:v>
      </x:c>
      <x:c r="M275" s="30" t="str"/>
      <x:c r="N275" s="30" t="str">
        <x:v>OFFICE NO.703/704 , BUILDING "WINDFALL" , SAHAR PLAZA COMPLEX,ANDHERI-KURLA ROAD,ANDHERI (EAST) MUMBAI</x:v>
      </x:c>
      <x:c r="O275" s="30" t="str"/>
      <x:c r="P275" s="30" t="str">
        <x:v>金属加工机械及设备</x:v>
      </x:c>
      <x:c r="Q275" s="32" t="n">
        <x:v>1</x:v>
      </x:c>
      <x:c r="R275" s="32" t="n">
        <x:v>81772</x:v>
      </x:c>
      <x:c r="S275" s="33" t="n">
        <x:v>0</x:v>
      </x:c>
      <x:c r="T275" s="34" t="n">
        <x:v>45765.666666666664</x:v>
      </x:c>
      <x:c r="U275" s="30" t="str">
        <x:v>info.wuerth@wuerth.in; jatin.shah@wuerth.in</x:v>
      </x:c>
      <x:c r="V275" s="30" t="str"/>
      <x:c r="W275" s="30" t="str">
        <x:v>1800102506; 18001025061; +49 7940 152400; +91 1800 10 2506</x:v>
      </x:c>
      <x:c r="X275" s="30" t="str"/>
      <x:c r="Y275" s="30" t="str">
        <x:v>1800102506:状态2/类型0/WhatsApp2; 18001025061:状态2/类型0/WhatsApp2; +49 7940 152400:状态1/类型1/WhatsApp2; +91 1800 10 2506:状态1/类型3/WhatsApp2</x:v>
      </x:c>
      <x:c r="Z275" s="30" t="str"/>
      <x:c r="AA275" s="30" t="str"/>
      <x:c r="AB275" s="30" t="str"/>
      <x:c r="AC275" s="30" t="str">
        <x:v>info.wuerth@wuerth.in:0; jatin.shah@wuerth.in:1</x:v>
      </x:c>
      <x:c r="AD275" s="30" t="str"/>
      <x:c r="AE275" s="30" t="str"/>
      <x:c r="AF275" s="30" t="str">
        <x:v>0818105103 061 MASKING FILM ACCESSORIES FLMKNFE-F.LACWRKPROT 0818105103 061 MASKING FILM ACCESSORIES FLMKNFE-F.LACWRKPROT</x:v>
      </x:c>
      <x:c r="AG275" s="30" t="str"/>
      <x:c r="AH275" s="30" t="str"/>
      <x:c r="AI275" s="30" t="str"/>
      <x:c r="AJ275" s="30" t="str">
        <x:v>遮蔽膜</x:v>
      </x:c>
      <x:c r="AK275" s="30" t="str">
        <x:v>expansion-search-masking-film-page-02</x:v>
      </x:c>
      <x:c r="AL275" s="30" t="str">
        <x:v>UpKuajing customs company contact API</x:v>
      </x:c>
      <x:c r="AM275" s="30" t="str"/>
      <x:c r="AN275" s="30" t="str"/>
      <x:c r="AO275" s="34" t="n">
        <x:v>46220</x:v>
      </x:c>
    </x:row>
    <x:row r="276" ht="44" customHeight="1">
      <x:c r="A276" s="30" t="str">
        <x:v>API联系方式已获取</x:v>
      </x:c>
      <x:c r="B276" s="30" t="str">
        <x:v>常规-全球</x:v>
      </x:c>
      <x:c r="C276" s="30" t="str">
        <x:v>胶带</x:v>
      </x:c>
      <x:c r="D276" s="31" t="str">
        <x:v>20437799</x:v>
      </x:c>
      <x:c r="E276" s="30" t="str">
        <x:v>Y T ENTERPRISES</x:v>
      </x:c>
      <x:c r="F276" s="30" t="str">
        <x:v>印度</x:v>
      </x:c>
      <x:c r="G276" s="30" t="str">
        <x:v>ay.enterprises2@gmail.com</x:v>
      </x:c>
      <x:c r="H276" s="30" t="str">
        <x:f>IF(ISNUMBER(SEARCH(":1",AC276)),"已验证有效",IF(ISNUMBER(SEARCH(":3",AC276)),"验证不确定",IF(ISNUMBER(SEARCH(":0",AC276)),"接口未能检测",IF(ISNUMBER(SEARCH(":2",AC276)),"判定无效",IF(V276&lt;&gt;"","官网已确认-未验证","无邮箱")))))</x:f>
        <x:v>已验证有效</x:v>
      </x:c>
      <x:c r="I276" s="30" t="str"/>
      <x:c r="J276" s="30" t="str"/>
      <x:c r="K276" s="35" t="n">
        <x:f>ROUND((IF(H276="已验证有效",40,IF(V276&lt;&gt;"",20,0))+IF(ISNUMBER(SEARCH("状态1",Y276)),25,0)+IF(J276&lt;&gt;"",20,0)+IF(AA276&lt;&gt;"",15,0))/100,2)</x:f>
        <x:v>0.4</x:v>
      </x:c>
      <x:c r="L276" s="30" t="str">
        <x:v>待联系</x:v>
      </x:c>
      <x:c r="M276" s="30" t="str"/>
      <x:c r="N276" s="30" t="str">
        <x:v>no.22-4-358, alijah kotla, yakutpura, hyderabad, ap.,pin-500053</x:v>
      </x:c>
      <x:c r="O276" s="30" t="str"/>
      <x:c r="P276" s="30" t="str">
        <x:v>螺丝，健身配件，安卓，三脚架，运动，小篮子，周期，滑板，手机后盖，墨镜，鞋配件，身体按摩器，药盒，磁力按钮，堵嘴，麦克风，带灯鞋，小玻璃，女士雨伞</x:v>
      </x:c>
      <x:c r="Q276" s="32" t="n">
        <x:v>1</x:v>
      </x:c>
      <x:c r="R276" s="32" t="n">
        <x:v>1628</x:v>
      </x:c>
      <x:c r="S276" s="33" t="n">
        <x:v>0.0006</x:v>
      </x:c>
      <x:c r="T276" s="34" t="n">
        <x:v>45616.666666666664</x:v>
      </x:c>
      <x:c r="U276" s="30" t="str">
        <x:v>ay.enterprises2@gmail.com</x:v>
      </x:c>
      <x:c r="V276" s="30" t="str"/>
      <x:c r="W276" s="30" t="str"/>
      <x:c r="X276" s="30" t="str"/>
      <x:c r="Y276" s="30" t="str"/>
      <x:c r="Z276" s="30" t="str"/>
      <x:c r="AA276" s="30" t="str"/>
      <x:c r="AB276" s="30" t="str"/>
      <x:c r="AC276" s="30" t="str">
        <x:v>ay.enterprises2@gmail.com:1</x:v>
      </x:c>
      <x:c r="AD276" s="30" t="str"/>
      <x:c r="AE276" s="30" t="str"/>
      <x:c r="AF276" s="30" t="str">
        <x:v>SMALL SUPPORTING TAPE FOR GYM</x:v>
      </x:c>
      <x:c r="AG276" s="30" t="str"/>
      <x:c r="AH276" s="30" t="str"/>
      <x:c r="AI276" s="30" t="str"/>
      <x:c r="AJ276" s="30" t="str">
        <x:v>胶带</x:v>
      </x:c>
      <x:c r="AK276" s="30" t="str">
        <x:v>expansion-search-tape-page-02</x:v>
      </x:c>
      <x:c r="AL276" s="30" t="str">
        <x:v>UpKuajing customs company contact API</x:v>
      </x:c>
      <x:c r="AM276" s="30" t="str"/>
      <x:c r="AN276" s="30" t="str"/>
      <x:c r="AO276" s="34" t="n">
        <x:v>46220</x:v>
      </x:c>
    </x:row>
  </x:sheetData>
  <x:mergeCells>
    <x:mergeCell ref="A1:N1"/>
    <x:mergeCell ref="A2:N2"/>
    <x:mergeCell ref="A3:D3"/>
    <x:mergeCell ref="E3:H3"/>
    <x:mergeCell ref="I3:L3"/>
    <x:mergeCell ref="M3:P3"/>
    <x:mergeCell ref="Q3:T3"/>
    <x:mergeCell ref="U3:X3"/>
    <x:mergeCell ref="Y3:AB3"/>
    <x:mergeCell ref="AC3:AF3"/>
    <x:mergeCell ref="AG3:AO3"/>
    <x:mergeCell ref="A4:AO4"/>
  </x:mergeCells>
  <x:conditionalFormatting sqref="B7:B276">
    <x:cfRule type="containsText" dxfId="0" priority="1" operator="containsText" text="高-欧美"/>
  </x:conditionalFormatting>
  <x:conditionalFormatting sqref="H7:H276">
    <x:cfRule type="containsText" dxfId="1" priority="2" operator="containsText" text="已验证有效"/>
    <x:cfRule type="containsText" dxfId="2" priority="3" operator="containsText" text="验证不确定"/>
  </x:conditionalFormatting>
  <x:conditionalFormatting sqref="K7:K276">
    <x:cfRule type="colorScale" priority="4">
      <x:colorScale>
        <x:cfvo type="min"/>
        <x:cfvo type="percentile" val="50"/>
        <x:cfvo type="max"/>
        <x:color rgb="FFF4CCCC"/>
        <x:color rgb="FFFFF2CC"/>
        <x:color rgb="FFD9EAD3"/>
      </x:colorScale>
    </x:cfRule>
  </x:conditionalFormatting>
  <x:dataValidations count="1">
    <x:dataValidation type="list" sqref="L7:L276">
      <x:formula1>"待联系,已联系,已回复,有意向,无意向,暂停"</x:formula1>
    </x:dataValidation>
  </x:dataValidations>
  <x:pageMargins left="0.7" right="0.7" top="0.75" bottom="0.75" header="0.3" footer="0.3"/>
  <x:tableParts count="1">
    <x:tablePart xmlns:r="http://schemas.openxmlformats.org/officeDocument/2006/relationships" r:id="R445238256ab344d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44" hidden="0" customWidth="1"/>
    <x:col min="4" max="4" width="18" hidden="0" customWidth="1"/>
  </x:cols>
  <x:sheetData>
    <x:row r="1">
      <x:c r="A1" s="38" t="str">
        <x:v>公司级有效联系方式成本与流程结论</x:v>
      </x:c>
      <x:c r="B1" s="38"/>
      <x:c r="C1" s="38"/>
      <x:c r="D1" s="38"/>
      <x:c r="E1" s="38"/>
      <x:c r="F1" s="38"/>
    </x:row>
    <x:row r="3">
      <x:c r="A3" s="40" t="str">
        <x:v>业务指标</x:v>
      </x:c>
      <x:c r="B3" s="40" t="str">
        <x:v>公司数</x:v>
      </x:c>
      <x:c r="C3" s="40" t="str">
        <x:v>计算方式</x:v>
      </x:c>
      <x:c r="D3" s="40" t="str">
        <x:v>获客成本</x:v>
      </x:c>
    </x:row>
    <x:row r="4" ht="28" customHeight="1">
      <x:c r="A4" s="41" t="str">
        <x:v>拥有至少一种有效联系方式的公司</x:v>
      </x:c>
      <x:c r="B4" s="46" t="n">
        <x:v>270</x:v>
      </x:c>
      <x:c r="C4" s="41" t="str">
        <x:v>¥387.10 ÷ 270</x:v>
      </x:c>
      <x:c r="D4" s="51" t="n">
        <x:f>ROUND($B$14/B4,2)</x:f>
        <x:v>1.43</x:v>
      </x:c>
    </x:row>
    <x:row r="5" ht="28" customHeight="1">
      <x:c r="A5" s="41" t="str">
        <x:v>拥有有效邮箱的公司</x:v>
      </x:c>
      <x:c r="B5" s="46" t="n">
        <x:v>205</x:v>
      </x:c>
      <x:c r="C5" s="41" t="str">
        <x:v>¥387.10 ÷ 205</x:v>
      </x:c>
      <x:c r="D5" s="51" t="n">
        <x:f>ROUND($B$14/B5,2)</x:f>
        <x:v>1.89</x:v>
      </x:c>
    </x:row>
    <x:row r="6" ht="28" customHeight="1">
      <x:c r="A6" s="41" t="str">
        <x:v>拥有有效电话的公司</x:v>
      </x:c>
      <x:c r="B6" s="46" t="n">
        <x:v>210</x:v>
      </x:c>
      <x:c r="C6" s="41" t="str">
        <x:v>¥387.10 ÷ 210</x:v>
      </x:c>
      <x:c r="D6" s="51" t="n">
        <x:f>ROUND($B$14/B6,2)</x:f>
        <x:v>1.84</x:v>
      </x:c>
    </x:row>
    <x:row r="7" ht="28" customHeight="1">
      <x:c r="A7" s="41"/>
      <x:c r="B7" s="47"/>
      <x:c r="C7" s="41"/>
      <x:c r="D7" s="41"/>
    </x:row>
    <x:row r="8" ht="28" customHeight="1">
      <x:c r="A8" s="40" t="str">
        <x:v>覆盖与预算</x:v>
      </x:c>
      <x:c r="B8" s="48" t="str">
        <x:v>结果</x:v>
      </x:c>
      <x:c r="C8" s="40" t="str">
        <x:v>严格口径</x:v>
      </x:c>
      <x:c r="D8" s="41"/>
    </x:row>
    <x:row r="9" ht="28" customHeight="1">
      <x:c r="A9" s="41" t="str">
        <x:v>公司总数</x:v>
      </x:c>
      <x:c r="B9" s="49" t="n">
        <x:v>270</x:v>
      </x:c>
      <x:c r="C9" s="41" t="str">
        <x:v>一行一家公司ID</x:v>
      </x:c>
      <x:c r="D9" s="41"/>
    </x:row>
    <x:row r="10" ht="28" customHeight="1">
      <x:c r="A10" s="41" t="str">
        <x:v>邮箱和电话都有的公司</x:v>
      </x:c>
      <x:c r="B10" s="49" t="n">
        <x:v>145</x:v>
      </x:c>
      <x:c r="C10" s="41" t="str">
        <x:v>同时计入邮箱公司和电话公司</x:v>
      </x:c>
      <x:c r="D10" s="41"/>
    </x:row>
    <x:row r="11" ht="28" customHeight="1">
      <x:c r="A11" s="41" t="str">
        <x:v>只有有效邮箱的公司</x:v>
      </x:c>
      <x:c r="B11" s="49" t="n">
        <x:v>60</x:v>
      </x:c>
      <x:c r="C11" s="41" t="str">
        <x:v>有有效邮箱、无有效电话</x:v>
      </x:c>
      <x:c r="D11" s="41"/>
    </x:row>
    <x:row r="12" ht="28" customHeight="1">
      <x:c r="A12" s="41" t="str">
        <x:v>只有有效电话的公司</x:v>
      </x:c>
      <x:c r="B12" s="49" t="n">
        <x:v>65</x:v>
      </x:c>
      <x:c r="C12" s="41" t="str">
        <x:v>无有效邮箱、有有效电话</x:v>
      </x:c>
      <x:c r="D12" s="41"/>
    </x:row>
    <x:row r="13" ht="28" customHeight="1">
      <x:c r="A13" s="41" t="str">
        <x:v>两者都没有的公司</x:v>
      </x:c>
      <x:c r="B13" s="49" t="n">
        <x:v>0</x:v>
      </x:c>
      <x:c r="C13" s="41" t="str">
        <x:v>无状态=1的邮箱，也无状态=1的电话</x:v>
      </x:c>
      <x:c r="D13" s="41"/>
    </x:row>
    <x:row r="14" ht="28" customHeight="1">
      <x:c r="A14" s="41" t="str">
        <x:v>OpenAPI累计费用</x:v>
      </x:c>
      <x:c r="B14" s="50" t="n">
        <x:v>387.1</x:v>
      </x:c>
      <x:c r="C14" s="41" t="str">
        <x:v>人民币；已审计本项目全部调用</x:v>
      </x:c>
      <x:c r="D14" s="41"/>
    </x:row>
    <x:row r="15" ht="28" customHeight="1">
      <x:c r="A15" s="41" t="str">
        <x:v>预算剩余</x:v>
      </x:c>
      <x:c r="B15" s="50" t="n">
        <x:f>ROUND(500-B14,2)</x:f>
        <x:v>112.9</x:v>
      </x:c>
      <x:c r="C15" s="41" t="str">
        <x:v>预算上限 ¥500.00 - 累计费用</x:v>
      </x:c>
      <x:c r="D15" s="41"/>
    </x:row>
    <x:row r="16">
      <x:c r="A16" s="41"/>
      <x:c r="B16" s="47"/>
      <x:c r="C16" s="41"/>
      <x:c r="D16" s="41"/>
    </x:row>
    <x:row r="17">
      <x:c r="A17" s="40" t="str">
        <x:v>邮箱技术审计</x:v>
      </x:c>
      <x:c r="B17" s="48" t="str">
        <x:v>数量</x:v>
      </x:c>
      <x:c r="C17" s="40" t="str">
        <x:v>说明</x:v>
      </x:c>
      <x:c r="D17" s="41"/>
    </x:row>
    <x:row r="18">
      <x:c r="A18" s="41" t="str">
        <x:v>去重后的有效邮箱地址</x:v>
      </x:c>
      <x:c r="B18" s="49" t="n">
        <x:v>301</x:v>
      </x:c>
      <x:c r="C18" s="41" t="str">
        <x:v>按邮箱文本跨公司去重；不是公司级业务指标</x:v>
      </x:c>
      <x:c r="D18" s="41"/>
    </x:row>
    <x:row r="19">
      <x:c r="A19" s="41" t="str">
        <x:v>公司—邮箱有效关联记录</x:v>
      </x:c>
      <x:c r="B19" s="49" t="n">
        <x:v>308</x:v>
      </x:c>
      <x:c r="C19" s="41" t="str">
        <x:v>未跨公司去重；仅供数据审计</x:v>
      </x:c>
      <x:c r="D19" s="41"/>
    </x:row>
    <x:row r="20">
      <x:c r="A20" s="41"/>
      <x:c r="B20" s="47"/>
      <x:c r="C20" s="41"/>
      <x:c r="D20" s="41"/>
    </x:row>
    <x:row r="21">
      <x:c r="A21" s="40" t="str">
        <x:v>费用构成</x:v>
      </x:c>
      <x:c r="B21" s="48" t="str">
        <x:v>金额（元）</x:v>
      </x:c>
      <x:c r="C21" s="40" t="str">
        <x:v>说明</x:v>
      </x:c>
      <x:c r="D21" s="41"/>
    </x:row>
    <x:row r="22">
      <x:c r="A22" s="41" t="str">
        <x:v>海关客户搜索</x:v>
      </x:c>
      <x:c r="B22" s="50" t="n">
        <x:v>54</x:v>
      </x:c>
      <x:c r="C22" s="41" t="str">
        <x:v>八类产品搜索与同义词翻页</x:v>
      </x:c>
      <x:c r="D22" s="41"/>
    </x:row>
    <x:row r="23">
      <x:c r="A23" s="41" t="str">
        <x:v>海关公司联系方式</x:v>
      </x:c>
      <x:c r="B23" s="50" t="n">
        <x:v>301</x:v>
      </x:c>
      <x:c r="C23" s="41" t="str">
        <x:v>按公司ID去重后的批量联系方式</x:v>
      </x:c>
      <x:c r="D23" s="41"/>
    </x:row>
    <x:row r="24">
      <x:c r="A24" s="41" t="str">
        <x:v>人物搜索</x:v>
      </x:c>
      <x:c r="B24" s="50" t="n">
        <x:v>19.5</x:v>
      </x:c>
      <x:c r="C24" s="41" t="str">
        <x:v>混合搜索1页 + 逐公司12页</x:v>
      </x:c>
      <x:c r="D24" s="41"/>
    </x:row>
    <x:row r="25">
      <x:c r="A25" s="41" t="str">
        <x:v>人物联系方式</x:v>
      </x:c>
      <x:c r="B25" s="50" t="n">
        <x:v>3</x:v>
      </x:c>
      <x:c r="C25" s="41" t="str">
        <x:v>人工审查后仅购买6人</x:v>
      </x:c>
      <x:c r="D25" s="41"/>
    </x:row>
    <x:row r="26">
      <x:c r="A26" s="41" t="str">
        <x:v>邮箱验证</x:v>
      </x:c>
      <x:c r="B26" s="50" t="n">
        <x:v>3</x:v>
      </x:c>
      <x:c r="C26" s="41" t="str">
        <x:v>API、官网及人物新增邮箱</x:v>
      </x:c>
      <x:c r="D26" s="41"/>
    </x:row>
    <x:row r="27">
      <x:c r="A27" s="41" t="str">
        <x:v>电话验证</x:v>
      </x:c>
      <x:c r="B27" s="50" t="n">
        <x:v>6.6</x:v>
      </x:c>
      <x:c r="C27" s="41" t="str">
        <x:v>主批58个 + 权威来源新增8个</x:v>
      </x:c>
      <x:c r="D27" s="41"/>
    </x:row>
    <x:row r="28">
      <x:c r="A28" s="41"/>
      <x:c r="B28" s="41"/>
      <x:c r="C28" s="41"/>
      <x:c r="D28" s="41"/>
    </x:row>
    <x:row r="29">
      <x:c r="A29" s="40" t="str">
        <x:v>流程改进</x:v>
      </x:c>
      <x:c r="B29" s="40" t="str">
        <x:v>优先级</x:v>
      </x:c>
      <x:c r="C29" s="40" t="str">
        <x:v>执行规则</x:v>
      </x:c>
      <x:c r="D29" s="41"/>
    </x:row>
    <x:row r="30">
      <x:c r="A30" s="41" t="str">
        <x:v>先做法人实体去重</x:v>
      </x:c>
      <x:c r="B30" s="41" t="str">
        <x:v>P0</x:v>
      </x:c>
      <x:c r="C30" s="41" t="str">
        <x:v>公司名称+官网域名+国家归一化；重复实体复用已验证联系方式</x:v>
      </x:c>
      <x:c r="D30" s="41"/>
    </x:row>
    <x:row r="31">
      <x:c r="A31" s="41" t="str">
        <x:v>所有来源进入统一验证队列</x:v>
      </x:c>
      <x:c r="B31" s="41" t="str">
        <x:v>P0</x:v>
      </x:c>
      <x:c r="C31" s="41" t="str">
        <x:v>API、官网、人物邮箱增量入库后立即验证；禁止只验API字段</x:v>
      </x:c>
      <x:c r="D31" s="41"/>
    </x:row>
    <x:row r="32">
      <x:c r="A32" s="41" t="str">
        <x:v>人物搜索按公司逐个执行</x:v>
      </x:c>
      <x:c r="B32" s="41" t="str">
        <x:v>P0</x:v>
      </x:c>
      <x:c r="C32" s="41" t="str">
        <x:v>人工确认公司精确匹配后，每家公司最多购买1位高相关人员</x:v>
      </x:c>
      <x:c r="D32" s="41"/>
    </x:row>
    <x:row r="33">
      <x:c r="A33" s="41" t="str">
        <x:v>状态3/0不盲目重试</x:v>
      </x:c>
      <x:c r="B33" s="41" t="str">
        <x:v>P1</x:v>
      </x:c>
      <x:c r="C33" s="41" t="str">
        <x:v>先查官网或换人物；避免反垃圾拦截导致重复付费</x:v>
      </x:c>
      <x:c r="D33" s="41"/>
    </x:row>
    <x:row r="34">
      <x:c r="A34" s="41" t="str">
        <x:v>发送后用真实退信闭环</x:v>
      </x:c>
      <x:c r="B34" s="41" t="str">
        <x:v>P0</x:v>
      </x:c>
      <x:c r="C34" s="41" t="str">
        <x:v>小批量投递、记录硬退信、永久抑制无效地址；验证状态1仍非送达保证</x:v>
      </x:c>
      <x:c r="D34" s="41"/>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56" hidden="0" customWidth="1"/>
    <x:col min="3" max="3" width="24" hidden="0" customWidth="1"/>
    <x:col min="4" max="4" width="16" hidden="0" customWidth="1"/>
  </x:cols>
  <x:sheetData>
    <x:row r="1">
      <x:c r="A1" s="37" t="str">
        <x:v>客户总表字段说明（按主表顺序）</x:v>
      </x:c>
      <x:c r="B1" s="37"/>
      <x:c r="C1" s="37"/>
      <x:c r="D1" s="37"/>
    </x:row>
    <x:row r="3">
      <x:c r="A3" s="40" t="str">
        <x:v>字段</x:v>
      </x:c>
      <x:c r="B3" s="40" t="str">
        <x:v>人话解释</x:v>
      </x:c>
      <x:c r="C3" s="40" t="str">
        <x:v>来源/计算</x:v>
      </x:c>
      <x:c r="D3" s="40" t="str">
        <x:v>是否关键</x:v>
      </x:c>
    </x:row>
    <x:row r="4">
      <x:c r="A4" s="41" t="str">
        <x:v>研究状态</x:v>
      </x:c>
      <x:c r="B4" s="41" t="str">
        <x:v>这家公司目前调研到哪一步</x:v>
      </x:c>
      <x:c r="C4" s="41" t="str">
        <x:v>API、官网或公式</x:v>
      </x:c>
      <x:c r="D4" s="41" t="str">
        <x:v>辅助/追溯</x:v>
      </x:c>
    </x:row>
    <x:row r="5">
      <x:c r="A5" s="41" t="str">
        <x:v>市场优先级</x:v>
      </x:c>
      <x:c r="B5" s="41" t="str">
        <x:v>欧美优先或全球常规</x:v>
      </x:c>
      <x:c r="C5" s="41" t="str">
        <x:v>API、官网或公式</x:v>
      </x:c>
      <x:c r="D5" s="41" t="str">
        <x:v>辅助/追溯</x:v>
      </x:c>
    </x:row>
    <x:row r="6">
      <x:c r="A6" s="41" t="str">
        <x:v>产品品类（中文）</x:v>
      </x:c>
      <x:c r="B6" s="41" t="str">
        <x:v>八类产品中该公司实际命中的一个或多个品类</x:v>
      </x:c>
      <x:c r="C6" s="41" t="str">
        <x:v>API、官网或公式</x:v>
      </x:c>
      <x:c r="D6" s="41" t="str">
        <x:v>关键</x:v>
      </x:c>
    </x:row>
    <x:row r="7">
      <x:c r="A7" s="41" t="str">
        <x:v>公司ID</x:v>
      </x:c>
      <x:c r="B7" s="41" t="str">
        <x:v>跨境魔方中的公司唯一编号</x:v>
      </x:c>
      <x:c r="C7" s="41" t="str">
        <x:v>API、官网或公式</x:v>
      </x:c>
      <x:c r="D7" s="41" t="str">
        <x:v>辅助/追溯</x:v>
      </x:c>
    </x:row>
    <x:row r="8">
      <x:c r="A8" s="41" t="str">
        <x:v>公司名称</x:v>
      </x:c>
      <x:c r="B8" s="41" t="str">
        <x:v>公司名称；一行只放一家</x:v>
      </x:c>
      <x:c r="C8" s="41" t="str">
        <x:v>API、官网或公式</x:v>
      </x:c>
      <x:c r="D8" s="41" t="str">
        <x:v>关键</x:v>
      </x:c>
    </x:row>
    <x:row r="9">
      <x:c r="A9" s="41" t="str">
        <x:v>国家/地区（中文）</x:v>
      </x:c>
      <x:c r="B9" s="41" t="str">
        <x:v>公司所在国家的中文名称</x:v>
      </x:c>
      <x:c r="C9" s="41" t="str">
        <x:v>API、官网或公式</x:v>
      </x:c>
      <x:c r="D9" s="41" t="str">
        <x:v>关键</x:v>
      </x:c>
    </x:row>
    <x:row r="10">
      <x:c r="A10" s="41" t="str">
        <x:v>首选邮箱</x:v>
      </x:c>
      <x:c r="B10" s="41" t="str">
        <x:v>优先取官网补充邮箱，否则取API/人物邮箱</x:v>
      </x:c>
      <x:c r="C10" s="41" t="str">
        <x:v>API、官网或公式</x:v>
      </x:c>
      <x:c r="D10" s="41" t="str">
        <x:v>关键</x:v>
      </x:c>
    </x:row>
    <x:row r="11">
      <x:c r="A11" s="41" t="str">
        <x:v>邮箱可用状态</x:v>
      </x:c>
      <x:c r="B11" s="41" t="str">
        <x:v>有效、无效、不确定或接口未能检测</x:v>
      </x:c>
      <x:c r="C11" s="41" t="str">
        <x:v>API、官网或公式</x:v>
      </x:c>
      <x:c r="D11" s="41" t="str">
        <x:v>关键</x:v>
      </x:c>
    </x:row>
    <x:row r="12">
      <x:c r="A12" s="41" t="str">
        <x:v>首选电话</x:v>
      </x:c>
      <x:c r="B12" s="41" t="str">
        <x:v>优先取官网电话，否则取API电话</x:v>
      </x:c>
      <x:c r="C12" s="41" t="str">
        <x:v>API、官网或公式</x:v>
      </x:c>
      <x:c r="D12" s="41" t="str">
        <x:v>关键</x:v>
      </x:c>
    </x:row>
    <x:row r="13">
      <x:c r="A13" s="41" t="str">
        <x:v>官网</x:v>
      </x:c>
      <x:c r="B13" s="41" t="str">
        <x:v>公司网站</x:v>
      </x:c>
      <x:c r="C13" s="41" t="str">
        <x:v>API、官网或公式</x:v>
      </x:c>
      <x:c r="D13" s="41" t="str">
        <x:v>关键</x:v>
      </x:c>
    </x:row>
    <x:row r="14">
      <x:c r="A14" s="41" t="str">
        <x:v>联系完整度</x:v>
      </x:c>
      <x:c r="B14" s="41" t="str">
        <x:v>按有效邮箱、有效电话、官网、社媒加权</x:v>
      </x:c>
      <x:c r="C14" s="41" t="str">
        <x:v>API、官网或公式</x:v>
      </x:c>
      <x:c r="D14" s="41" t="str">
        <x:v>辅助/追溯</x:v>
      </x:c>
    </x:row>
    <x:row r="15">
      <x:c r="A15" s="41" t="str">
        <x:v>跟进状态</x:v>
      </x:c>
      <x:c r="B15" s="41" t="str">
        <x:v>人工维护的销售进度</x:v>
      </x:c>
      <x:c r="C15" s="41" t="str">
        <x:v>API、官网或公式</x:v>
      </x:c>
      <x:c r="D15" s="41" t="str">
        <x:v>关键</x:v>
      </x:c>
    </x:row>
    <x:row r="16">
      <x:c r="A16" s="41" t="str">
        <x:v>负责人</x:v>
      </x:c>
      <x:c r="B16" s="41" t="str">
        <x:v>人工填写跟进人</x:v>
      </x:c>
      <x:c r="C16" s="41" t="str">
        <x:v>API、官网或公式</x:v>
      </x:c>
      <x:c r="D16" s="41" t="str">
        <x:v>辅助/追溯</x:v>
      </x:c>
    </x:row>
    <x:row r="17">
      <x:c r="A17" s="41" t="str">
        <x:v>API地址（原文）</x:v>
      </x:c>
      <x:c r="B17" s="41" t="str">
        <x:v>跨境魔方返回的原始公司地址</x:v>
      </x:c>
      <x:c r="C17" s="41" t="str">
        <x:v>API、官网或公式</x:v>
      </x:c>
      <x:c r="D17" s="41" t="str">
        <x:v>辅助/追溯</x:v>
      </x:c>
    </x:row>
    <x:row r="18">
      <x:c r="A18" s="41" t="str">
        <x:v>官网核验地址（原文）</x:v>
      </x:c>
      <x:c r="B18" s="41" t="str">
        <x:v>官网或权威来源确认的原始地址</x:v>
      </x:c>
      <x:c r="C18" s="41" t="str">
        <x:v>API、官网或公式</x:v>
      </x:c>
      <x:c r="D18" s="41" t="str">
        <x:v>辅助/追溯</x:v>
      </x:c>
    </x:row>
    <x:row r="19">
      <x:c r="A19" s="41" t="str">
        <x:v>经营范围（中文）</x:v>
      </x:c>
      <x:c r="B19" s="41" t="str">
        <x:v>API经营或产品范围的中文译文；原文保留在结构化主数据和原始证据中</x:v>
      </x:c>
      <x:c r="C19" s="41" t="str">
        <x:v>API、官网或公式</x:v>
      </x:c>
      <x:c r="D19" s="41" t="str">
        <x:v>辅助/追溯</x:v>
      </x:c>
    </x:row>
    <x:row r="20">
      <x:c r="A20" s="41" t="str">
        <x:v>匹配贸易次数</x:v>
      </x:c>
      <x:c r="B20" s="41" t="str">
        <x:v>与本品类匹配的贸易记录数</x:v>
      </x:c>
      <x:c r="C20" s="41" t="str">
        <x:v>API、官网或公式</x:v>
      </x:c>
      <x:c r="D20" s="41" t="str">
        <x:v>辅助/追溯</x:v>
      </x:c>
    </x:row>
    <x:row r="21">
      <x:c r="A21" s="41" t="str">
        <x:v>贸易总次数</x:v>
      </x:c>
      <x:c r="B21" s="41" t="str">
        <x:v>该公司全部贸易记录数</x:v>
      </x:c>
      <x:c r="C21" s="41" t="str">
        <x:v>API、官网或公式</x:v>
      </x:c>
      <x:c r="D21" s="41" t="str">
        <x:v>辅助/追溯</x:v>
      </x:c>
    </x:row>
    <x:row r="22">
      <x:c r="A22" s="41" t="str">
        <x:v>匹配占比</x:v>
      </x:c>
      <x:c r="B22" s="41" t="str">
        <x:v>匹配贸易次数占总贸易次数</x:v>
      </x:c>
      <x:c r="C22" s="41" t="str">
        <x:v>API、官网或公式</x:v>
      </x:c>
      <x:c r="D22" s="41" t="str">
        <x:v>辅助/追溯</x:v>
      </x:c>
    </x:row>
    <x:row r="23">
      <x:c r="A23" s="41" t="str">
        <x:v>最近贸易日期</x:v>
      </x:c>
      <x:c r="B23" s="41" t="str">
        <x:v>最近一笔相关贸易日期</x:v>
      </x:c>
      <x:c r="C23" s="41" t="str">
        <x:v>API、官网或公式</x:v>
      </x:c>
      <x:c r="D23" s="41" t="str">
        <x:v>辅助/追溯</x:v>
      </x:c>
    </x:row>
    <x:row r="24">
      <x:c r="A24" s="41" t="str">
        <x:v>API邮箱</x:v>
      </x:c>
      <x:c r="B24" s="41" t="str">
        <x:v>海关公司API和审查后人物API获取的邮箱</x:v>
      </x:c>
      <x:c r="C24" s="41" t="str">
        <x:v>API、官网或公式</x:v>
      </x:c>
      <x:c r="D24" s="41" t="str">
        <x:v>辅助/追溯</x:v>
      </x:c>
    </x:row>
    <x:row r="25">
      <x:c r="A25" s="41" t="str">
        <x:v>官网补充邮箱</x:v>
      </x:c>
      <x:c r="B25" s="41" t="str">
        <x:v>官网、政府或权威目录补充的邮箱</x:v>
      </x:c>
      <x:c r="C25" s="41" t="str">
        <x:v>API、官网或公式</x:v>
      </x:c>
      <x:c r="D25" s="41" t="str">
        <x:v>辅助/追溯</x:v>
      </x:c>
    </x:row>
    <x:row r="26">
      <x:c r="A26" s="41" t="str">
        <x:v>API电话</x:v>
      </x:c>
      <x:c r="B26" s="41" t="str">
        <x:v>跨境魔方返回的电话</x:v>
      </x:c>
      <x:c r="C26" s="41" t="str">
        <x:v>API、官网或公式</x:v>
      </x:c>
      <x:c r="D26" s="41" t="str">
        <x:v>辅助/追溯</x:v>
      </x:c>
    </x:row>
    <x:row r="27">
      <x:c r="A27" s="41" t="str">
        <x:v>官网补充电话</x:v>
      </x:c>
      <x:c r="B27" s="41" t="str">
        <x:v>官网、政府或权威目录补充的电话</x:v>
      </x:c>
      <x:c r="C27" s="41" t="str">
        <x:v>API、官网或公式</x:v>
      </x:c>
      <x:c r="D27" s="41" t="str">
        <x:v>辅助/追溯</x:v>
      </x:c>
    </x:row>
    <x:row r="28">
      <x:c r="A28" s="41" t="str">
        <x:v>电话验证详情</x:v>
      </x:c>
      <x:c r="B28" s="41" t="str">
        <x:v>每个号码的有效状态、类型及WhatsApp状态</x:v>
      </x:c>
      <x:c r="C28" s="41" t="str">
        <x:v>API、官网或公式</x:v>
      </x:c>
      <x:c r="D28" s="41" t="str">
        <x:v>关键</x:v>
      </x:c>
    </x:row>
    <x:row r="29">
      <x:c r="A29" s="41" t="str">
        <x:v>WhatsApp</x:v>
      </x:c>
      <x:c r="B29" s="41" t="str">
        <x:v>明确识别的WhatsApp号码</x:v>
      </x:c>
      <x:c r="C29" s="41" t="str">
        <x:v>API、官网或公式</x:v>
      </x:c>
      <x:c r="D29" s="41" t="str">
        <x:v>辅助/追溯</x:v>
      </x:c>
    </x:row>
    <x:row r="30">
      <x:c r="A30" s="41" t="str">
        <x:v>社交媒体</x:v>
      </x:c>
      <x:c r="B30" s="41" t="str">
        <x:v>LinkedIn等链接</x:v>
      </x:c>
      <x:c r="C30" s="41" t="str">
        <x:v>API、官网或公式</x:v>
      </x:c>
      <x:c r="D30" s="41" t="str">
        <x:v>辅助/追溯</x:v>
      </x:c>
    </x:row>
    <x:row r="31">
      <x:c r="A31" s="41" t="str">
        <x:v>官网联系渠道</x:v>
      </x:c>
      <x:c r="B31" s="41" t="str">
        <x:v>官网表单、客服入口等</x:v>
      </x:c>
      <x:c r="C31" s="41" t="str">
        <x:v>API、官网或公式</x:v>
      </x:c>
      <x:c r="D31" s="41" t="str">
        <x:v>辅助/追溯</x:v>
      </x:c>
    </x:row>
    <x:row r="32">
      <x:c r="A32" s="41" t="str">
        <x:v>邮箱验证详情</x:v>
      </x:c>
      <x:c r="B32" s="41" t="str">
        <x:v>每个邮箱及状态码；1有效、2无效、3不确定、0未能检测</x:v>
      </x:c>
      <x:c r="C32" s="41" t="str">
        <x:v>API、官网或公式</x:v>
      </x:c>
      <x:c r="D32" s="41" t="str">
        <x:v>辅助/追溯</x:v>
      </x:c>
    </x:row>
    <x:row r="33">
      <x:c r="A33" s="41" t="str">
        <x:v>产品名称</x:v>
      </x:c>
      <x:c r="B33" s="41" t="str">
        <x:v>API结构化产品名；已知词优先显示中文</x:v>
      </x:c>
      <x:c r="C33" s="41" t="str">
        <x:v>API、官网或公式</x:v>
      </x:c>
      <x:c r="D33" s="41" t="str">
        <x:v>辅助/追溯</x:v>
      </x:c>
    </x:row>
    <x:row r="34">
      <x:c r="A34" s="41" t="str">
        <x:v>产品标签</x:v>
      </x:c>
      <x:c r="B34" s="41" t="str">
        <x:v>API提取的产品关键词；已知词优先显示中文</x:v>
      </x:c>
      <x:c r="C34" s="41" t="str">
        <x:v>API、官网或公式</x:v>
      </x:c>
      <x:c r="D34" s="41" t="str">
        <x:v>辅助/追溯</x:v>
      </x:c>
    </x:row>
    <x:row r="35">
      <x:c r="A35" s="41" t="str">
        <x:v>报关品名/命中证据（原文）</x:v>
      </x:c>
      <x:c r="B35" s="41" t="str">
        <x:v>原始报关品名；用于证明为何列入</x:v>
      </x:c>
      <x:c r="C35" s="41" t="str">
        <x:v>API、官网或公式</x:v>
      </x:c>
      <x:c r="D35" s="41" t="str">
        <x:v>关键</x:v>
      </x:c>
    </x:row>
    <x:row r="36">
      <x:c r="A36" s="41" t="str">
        <x:v>产品别名</x:v>
      </x:c>
      <x:c r="B36" s="41" t="str">
        <x:v>API返回的近义词；已知词优先显示中文</x:v>
      </x:c>
      <x:c r="C36" s="41" t="str">
        <x:v>API、官网或公式</x:v>
      </x:c>
      <x:c r="D36" s="41" t="str">
        <x:v>辅助/追溯</x:v>
      </x:c>
    </x:row>
    <x:row r="37">
      <x:c r="A37" s="41" t="str">
        <x:v>上游词</x:v>
      </x:c>
      <x:c r="B37" s="41" t="str">
        <x:v>API返回的上游关联词；已知词优先显示中文</x:v>
      </x:c>
      <x:c r="C37" s="41" t="str">
        <x:v>API、官网或公式</x:v>
      </x:c>
      <x:c r="D37" s="41" t="str">
        <x:v>辅助/追溯</x:v>
      </x:c>
    </x:row>
    <x:row r="38">
      <x:c r="A38" s="41" t="str">
        <x:v>下游词</x:v>
      </x:c>
      <x:c r="B38" s="41" t="str">
        <x:v>API返回的下游关联词；已知词优先显示中文</x:v>
      </x:c>
      <x:c r="C38" s="41" t="str">
        <x:v>API、官网或公式</x:v>
      </x:c>
      <x:c r="D38" s="41" t="str">
        <x:v>辅助/追溯</x:v>
      </x:c>
    </x:row>
    <x:row r="39">
      <x:c r="A39" s="41" t="str">
        <x:v>搜索词（中文）</x:v>
      </x:c>
      <x:c r="B39" s="41" t="str">
        <x:v>找到该公司的中文查询词</x:v>
      </x:c>
      <x:c r="C39" s="41" t="str">
        <x:v>API、官网或公式</x:v>
      </x:c>
      <x:c r="D39" s="41" t="str">
        <x:v>辅助/追溯</x:v>
      </x:c>
    </x:row>
    <x:row r="40">
      <x:c r="A40" s="41" t="str">
        <x:v>搜索原始来源</x:v>
      </x:c>
      <x:c r="B40" s="41" t="str">
        <x:v>对应原始搜索文件</x:v>
      </x:c>
      <x:c r="C40" s="41" t="str">
        <x:v>API、官网或公式</x:v>
      </x:c>
      <x:c r="D40" s="41" t="str">
        <x:v>辅助/追溯</x:v>
      </x:c>
    </x:row>
    <x:row r="41">
      <x:c r="A41" s="41" t="str">
        <x:v>API联系方式来源</x:v>
      </x:c>
      <x:c r="B41" s="41" t="str">
        <x:v>联系方式来自哪个API</x:v>
      </x:c>
      <x:c r="C41" s="41" t="str">
        <x:v>API、官网或公式</x:v>
      </x:c>
      <x:c r="D41" s="41" t="str">
        <x:v>辅助/追溯</x:v>
      </x:c>
    </x:row>
    <x:row r="42">
      <x:c r="A42" s="41" t="str">
        <x:v>官网核验来源</x:v>
      </x:c>
      <x:c r="B42" s="41" t="str">
        <x:v>核验网页或权威文件链接</x:v>
      </x:c>
      <x:c r="C42" s="41" t="str">
        <x:v>API、官网或公式</x:v>
      </x:c>
      <x:c r="D42" s="41" t="str">
        <x:v>辅助/追溯</x:v>
      </x:c>
    </x:row>
    <x:row r="43">
      <x:c r="A43" s="41" t="str">
        <x:v>官网核验说明</x:v>
      </x:c>
      <x:c r="B43" s="41" t="str">
        <x:v>人工核验结论、人物职位和排除原因</x:v>
      </x:c>
      <x:c r="C43" s="41" t="str">
        <x:v>API、官网或公式</x:v>
      </x:c>
      <x:c r="D43" s="41" t="str">
        <x:v>辅助/追溯</x:v>
      </x:c>
    </x:row>
    <x:row r="44">
      <x:c r="A44" s="41" t="str">
        <x:v>最后核验日期</x:v>
      </x:c>
      <x:c r="B44" s="41" t="str">
        <x:v>本行最后一次数据核验日期</x:v>
      </x:c>
      <x:c r="C44" s="41" t="str">
        <x:v>API、官网或公式</x:v>
      </x:c>
      <x:c r="D44" s="41" t="str">
        <x:v>辅助/追溯</x:v>
      </x:c>
    </x:row>
  </x:sheetData>
  <x:mergeCells>
    <x:mergeCell ref="A1:D1"/>
  </x:mergeCells>
  <x:pageMargins left="0.7" right="0.7" top="0.75" bottom="0.75" header="0.3" footer="0.3"/>
</x:worksheet>
</file>