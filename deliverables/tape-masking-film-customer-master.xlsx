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d7729f987f4c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总表" sheetId="1" r:id="Ra7a84bf2eeee4e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#,##0"/>
    <x:numFmt numFmtId="202" formatCode="0.0%"/>
    <x:numFmt numFmtId="203" formatCode="yyyy-mm-dd"/>
    <x:numFmt numFmtId="204" formatCode="0%"/>
  </x:numFmts>
  <x:fonts count="7">
    <x:font>
      <x:sz val="11"/>
      <x:name val="Carlito"/>
    </x:font>
    <x:font>
      <x:b/>
      <x:sz val="18"/>
      <x:color rgb="FFFFFFFF"/>
      <x:name val="Carlito"/>
    </x:font>
    <x:font>
      <x:sz val="10"/>
      <x:color rgb="FF1F1F1F"/>
      <x:name val="Carlito"/>
    </x:font>
    <x:font>
      <x:b/>
      <x:sz val="11"/>
      <x:color rgb="FF17365D"/>
      <x:name val="Carlito"/>
    </x:font>
    <x:font>
      <x:i/>
      <x:sz val="9"/>
      <x:color rgb="FF595959"/>
      <x:name val="Carlito"/>
    </x:font>
    <x:font>
      <x:b/>
      <x:sz val="10"/>
      <x:color rgb="FFFFFFFF"/>
      <x:name val="Carlito"/>
    </x:font>
    <x:font>
      <x:sz val="9"/>
      <x:color rgb="FF1F1F1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E8EEF8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3" borderId="0" xfId="0" applyNumberFormat="1" applyFont="1" applyFill="1" applyBorder="1"/>
    <x:xf numFmtId="0" fontId="3" fillId="4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left" wrapText="1"/>
    </x:xf>
    <x:xf numFmtId="0" fontId="4" fillId="7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horizont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200" fontId="6" fillId="0" borderId="0" xfId="0" applyNumberFormat="1" applyFont="1" applyFill="1" applyBorder="1" applyAlignment="1">
      <x:alignment vertical="top" wrapText="1"/>
    </x:xf>
    <x:xf numFmtId="201" fontId="6" fillId="0" borderId="0" xfId="0" applyNumberFormat="1" applyFont="1" applyFill="1" applyBorder="1" applyAlignment="1">
      <x:alignment vertical="top" wrapText="1"/>
    </x:xf>
    <x:xf numFmtId="202" fontId="6" fillId="0" borderId="0" xfId="0" applyNumberFormat="1" applyFont="1" applyFill="1" applyBorder="1" applyAlignment="1">
      <x:alignment vertical="top" wrapText="1"/>
    </x:xf>
    <x:xf numFmtId="203" fontId="6" fillId="0" borderId="0" xfId="0" applyNumberFormat="1" applyFont="1" applyFill="1" applyBorder="1" applyAlignment="1">
      <x:alignment vertical="top" wrapText="1"/>
    </x:xf>
    <x:xf numFmtId="204" fontId="6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9488f41e5d48ef" /><Relationship Type="http://schemas.openxmlformats.org/officeDocument/2006/relationships/theme" Target="/xl/theme/theme1.xml" Id="R8ecb498fd5bd4add" /><Relationship Type="http://schemas.openxmlformats.org/officeDocument/2006/relationships/sharedStrings" Target="/xl/sharedStrings.xml" Id="R59d78fc34e814850" /><Relationship Type="http://schemas.openxmlformats.org/officeDocument/2006/relationships/worksheet" Target="/xl/worksheets/sheet1.xml" Id="Ra7a84bf2eeee4eb5" /></Relationships>
</file>

<file path=xl/tables/table1.xml><?xml version="1.0" encoding="utf-8"?>
<x:table xmlns:x="http://schemas.openxmlformats.org/spreadsheetml/2006/main" id="1" name="CustomerMasterTable" displayName="CustomerMasterTable" ref="A6:AN41" headerRowCount="1" totalsRowCount="0" totalsRowShown="0">
  <x:autoFilter ref="A6:AN41"/>
  <x:tableColumns count="40">
    <x:tableColumn id="1" name="研究状态"/>
    <x:tableColumn id="2" name="市场优先级"/>
    <x:tableColumn id="3" name="品类"/>
    <x:tableColumn id="4" name="公司ID"/>
    <x:tableColumn id="5" name="公司名称"/>
    <x:tableColumn id="6" name="国家/地区"/>
    <x:tableColumn id="7" name="首选邮箱"/>
    <x:tableColumn id="8" name="邮箱可用状态"/>
    <x:tableColumn id="9" name="首选电话"/>
    <x:tableColumn id="10" name="官网"/>
    <x:tableColumn id="11" name="联系完整度"/>
    <x:tableColumn id="12" name="跟进状态"/>
    <x:tableColumn id="13" name="负责人"/>
    <x:tableColumn id="14" name="API地址"/>
    <x:tableColumn id="15" name="官网核验地址"/>
    <x:tableColumn id="16" name="经营范围"/>
    <x:tableColumn id="17" name="匹配贸易次数"/>
    <x:tableColumn id="18" name="贸易总次数"/>
    <x:tableColumn id="19" name="匹配占比"/>
    <x:tableColumn id="20" name="最近贸易日期"/>
    <x:tableColumn id="21" name="API邮箱"/>
    <x:tableColumn id="22" name="官网补充邮箱"/>
    <x:tableColumn id="23" name="API电话"/>
    <x:tableColumn id="24" name="官网补充电话"/>
    <x:tableColumn id="25" name="WhatsApp"/>
    <x:tableColumn id="26" name="社交媒体"/>
    <x:tableColumn id="27" name="官网联系渠道"/>
    <x:tableColumn id="28" name="API邮箱验证详情"/>
    <x:tableColumn id="29" name="产品名称"/>
    <x:tableColumn id="30" name="产品标签"/>
    <x:tableColumn id="31" name="产品描述/命中证据"/>
    <x:tableColumn id="32" name="产品别名"/>
    <x:tableColumn id="33" name="上游词"/>
    <x:tableColumn id="34" name="下游词"/>
    <x:tableColumn id="35" name="搜索词"/>
    <x:tableColumn id="36" name="搜索原始来源"/>
    <x:tableColumn id="37" name="API联系方式来源"/>
    <x:tableColumn id="38" name="官网核验来源"/>
    <x:tableColumn id="39" name="官网核验说明"/>
    <x:tableColumn id="40" name="最后核验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2c0e7ec7b07453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18" hidden="0" customWidth="1"/>
    <x:col min="4" max="4" width="12" hidden="0" customWidth="1"/>
    <x:col min="5" max="5" width="34" hidden="0" customWidth="1"/>
    <x:col min="6" max="6" width="11" hidden="0" customWidth="1"/>
    <x:col min="7" max="7" width="32" hidden="0" customWidth="1"/>
    <x:col min="8" max="8" width="15" hidden="0" customWidth="1"/>
    <x:col min="9" max="9" width="24" hidden="0" customWidth="1"/>
    <x:col min="10" max="10" width="28" hidden="0" customWidth="1"/>
    <x:col min="11" max="11" width="13" hidden="0" customWidth="1"/>
    <x:col min="12" max="12" width="12" hidden="0" customWidth="1"/>
    <x:col min="13" max="13" width="12" hidden="0" customWidth="1"/>
    <x:col min="14" max="14" width="30" hidden="0" customWidth="1"/>
    <x:col min="15" max="15" width="30" hidden="0" customWidth="1"/>
    <x:col min="16" max="16" width="38" hidden="0" customWidth="1"/>
    <x:col min="17" max="17" width="13" hidden="0" customWidth="1"/>
    <x:col min="18" max="18" width="13" hidden="0" customWidth="1"/>
    <x:col min="19" max="19" width="12" hidden="0" customWidth="1"/>
    <x:col min="20" max="20" width="14" hidden="0" customWidth="1"/>
    <x:col min="21" max="21" width="32" hidden="0" customWidth="1"/>
    <x:col min="22" max="22" width="35" hidden="0" customWidth="1"/>
    <x:col min="23" max="23" width="24" hidden="0" customWidth="1"/>
    <x:col min="24" max="24" width="24" hidden="0" customWidth="1"/>
    <x:col min="25" max="25" width="22" hidden="0" customWidth="1"/>
    <x:col min="26" max="26" width="32" hidden="0" customWidth="1"/>
    <x:col min="27" max="27" width="25" hidden="0" customWidth="1"/>
    <x:col min="28" max="28" width="38" hidden="0" customWidth="1"/>
    <x:col min="29" max="29" width="30" hidden="0" customWidth="1"/>
    <x:col min="30" max="30" width="28" hidden="0" customWidth="1"/>
    <x:col min="31" max="31" width="55" hidden="0" customWidth="1"/>
    <x:col min="32" max="32" width="35" hidden="0" customWidth="1"/>
    <x:col min="33" max="33" width="28" hidden="0" customWidth="1"/>
    <x:col min="34" max="34" width="28" hidden="0" customWidth="1"/>
    <x:col min="35" max="35" width="20" hidden="0" customWidth="1"/>
    <x:col min="36" max="36" width="32" hidden="0" customWidth="1"/>
    <x:col min="37" max="37" width="34" hidden="0" customWidth="1"/>
    <x:col min="38" max="38" width="42" hidden="0" customWidth="1"/>
    <x:col min="39" max="39" width="50" hidden="0" customWidth="1"/>
    <x:col min="40" max="40" width="14" hidden="0" customWidth="1"/>
  </x:cols>
  <x:sheetData>
    <x:row r="1" ht="32" customHeight="1">
      <x:c r="A1" s="7" t="str">
        <x:v>Tape &amp; Masking Film 全球客户总表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  <x:c r="AG1" s="7"/>
      <x:c r="AH1" s="7"/>
      <x:c r="AI1" s="7"/>
      <x:c r="AJ1" s="7"/>
      <x:c r="AK1" s="7"/>
      <x:c r="AL1" s="7"/>
      <x:c r="AM1" s="7"/>
      <x:c r="AN1" s="7"/>
    </x:row>
    <x:row r="2" ht="24" customHeight="1">
      <x:c r="A2" s="11" t="str">
        <x:v>一行一家公司 · 全球覆盖、欧美优先 · 来源：跨境魔方 OpenAPI + 官方网站核验 · 更新：2026-07-17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  <x:c r="Y2" s="11"/>
      <x:c r="Z2" s="11"/>
      <x:c r="AA2" s="11"/>
      <x:c r="AB2" s="11"/>
      <x:c r="AC2" s="11"/>
      <x:c r="AD2" s="11"/>
      <x:c r="AE2" s="11"/>
      <x:c r="AF2" s="11"/>
      <x:c r="AG2" s="11"/>
      <x:c r="AH2" s="11"/>
      <x:c r="AI2" s="11"/>
      <x:c r="AJ2" s="11"/>
      <x:c r="AK2" s="11"/>
      <x:c r="AL2" s="11"/>
      <x:c r="AM2" s="11"/>
      <x:c r="AN2" s="11"/>
    </x:row>
    <x:row r="3" ht="27" customHeight="1">
      <x:c r="A3" s="15" t="str">
        <x:v>公司总数</x:v>
      </x:c>
      <x:c r="B3" s="15"/>
      <x:c r="C3" s="15"/>
      <x:c r="D3" s="15"/>
      <x:c r="E3" s="16" t="n">
        <x:f>COUNTA(E7:E41)</x:f>
        <x:v>35</x:v>
      </x:c>
      <x:c r="F3" s="16"/>
      <x:c r="G3" s="16"/>
      <x:c r="H3" s="16"/>
      <x:c r="I3" s="15" t="str">
        <x:v>欧美优先</x:v>
      </x:c>
      <x:c r="J3" s="15"/>
      <x:c r="K3" s="15"/>
      <x:c r="L3" s="15"/>
      <x:c r="M3" s="16" t="n">
        <x:f>COUNTIF(B7:B41,"高-欧美")</x:f>
        <x:v>5</x:v>
      </x:c>
      <x:c r="N3" s="16"/>
      <x:c r="O3" s="16"/>
      <x:c r="P3" s="16"/>
      <x:c r="Q3" s="15" t="str">
        <x:v>已验证邮箱</x:v>
      </x:c>
      <x:c r="R3" s="15"/>
      <x:c r="S3" s="15"/>
      <x:c r="T3" s="15"/>
      <x:c r="U3" s="16" t="n">
        <x:f>COUNTIF(H7:H41,"*已*验*")</x:f>
        <x:v>0</x:v>
      </x:c>
      <x:c r="V3" s="16"/>
      <x:c r="W3" s="16"/>
      <x:c r="X3" s="16"/>
      <x:c r="Y3" s="15" t="str">
        <x:v>平均联系完整度</x:v>
      </x:c>
      <x:c r="Z3" s="15"/>
      <x:c r="AA3" s="15"/>
      <x:c r="AB3" s="15"/>
      <x:c r="AC3" s="16" t="n">
        <x:f>AVERAGE(K7:K41)</x:f>
        <x:v>0.7571428571428572</x:v>
      </x:c>
      <x:c r="AD3" s="16"/>
      <x:c r="AE3" s="16"/>
      <x:c r="AF3" s="16"/>
      <x:c r="AG3" s="17" t="str">
        <x:v>OpenAPI 累计费用：¥49.50（前期上限 ¥50）</x:v>
      </x:c>
      <x:c r="AH3" s="17"/>
      <x:c r="AI3" s="17"/>
      <x:c r="AJ3" s="17"/>
      <x:c r="AK3" s="17"/>
      <x:c r="AL3" s="17"/>
      <x:c r="AM3" s="17"/>
      <x:c r="AN3" s="17"/>
    </x:row>
    <x:row r="4" ht="32" customHeight="1">
      <x:c r="A4" s="22" t="str">
        <x:v>使用：先按“市场优先级”和“邮箱可用状态”筛选；“跟进状态/负责人”为人工维护列。邮箱状态 0=未检测，1=有效，2=无效，3=不确定。完整原始数据见 data/raw/。</x:v>
      </x:c>
      <x:c r="B4" s="22"/>
      <x:c r="C4" s="22"/>
      <x:c r="D4" s="22"/>
      <x:c r="E4" s="22"/>
      <x:c r="F4" s="22"/>
      <x:c r="G4" s="22"/>
      <x:c r="H4" s="22"/>
      <x:c r="I4" s="22"/>
      <x:c r="J4" s="22"/>
      <x:c r="K4" s="22"/>
      <x:c r="L4" s="22"/>
      <x:c r="M4" s="22"/>
      <x:c r="N4" s="22"/>
      <x:c r="O4" s="22"/>
      <x:c r="P4" s="22"/>
      <x:c r="Q4" s="22"/>
      <x:c r="R4" s="22"/>
      <x:c r="S4" s="22"/>
      <x:c r="T4" s="22"/>
      <x:c r="U4" s="22"/>
      <x:c r="V4" s="22"/>
      <x:c r="W4" s="22"/>
      <x:c r="X4" s="22"/>
      <x:c r="Y4" s="22"/>
      <x:c r="Z4" s="22"/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</x:row>
    <x:row r="6" ht="36" customHeight="1">
      <x:c r="A6" s="27" t="str">
        <x:v>研究状态</x:v>
      </x:c>
      <x:c r="B6" s="27" t="str">
        <x:v>市场优先级</x:v>
      </x:c>
      <x:c r="C6" s="27" t="str">
        <x:v>品类</x:v>
      </x:c>
      <x:c r="D6" s="27" t="str">
        <x:v>公司ID</x:v>
      </x:c>
      <x:c r="E6" s="27" t="str">
        <x:v>公司名称</x:v>
      </x:c>
      <x:c r="F6" s="27" t="str">
        <x:v>国家/地区</x:v>
      </x:c>
      <x:c r="G6" s="27" t="str">
        <x:v>首选邮箱</x:v>
      </x:c>
      <x:c r="H6" s="27" t="str">
        <x:v>邮箱可用状态</x:v>
      </x:c>
      <x:c r="I6" s="27" t="str">
        <x:v>首选电话</x:v>
      </x:c>
      <x:c r="J6" s="27" t="str">
        <x:v>官网</x:v>
      </x:c>
      <x:c r="K6" s="27" t="str">
        <x:v>联系完整度</x:v>
      </x:c>
      <x:c r="L6" s="27" t="str">
        <x:v>跟进状态</x:v>
      </x:c>
      <x:c r="M6" s="27" t="str">
        <x:v>负责人</x:v>
      </x:c>
      <x:c r="N6" s="27" t="str">
        <x:v>API地址</x:v>
      </x:c>
      <x:c r="O6" s="27" t="str">
        <x:v>官网核验地址</x:v>
      </x:c>
      <x:c r="P6" s="27" t="str">
        <x:v>经营范围</x:v>
      </x:c>
      <x:c r="Q6" s="27" t="str">
        <x:v>匹配贸易次数</x:v>
      </x:c>
      <x:c r="R6" s="27" t="str">
        <x:v>贸易总次数</x:v>
      </x:c>
      <x:c r="S6" s="27" t="str">
        <x:v>匹配占比</x:v>
      </x:c>
      <x:c r="T6" s="27" t="str">
        <x:v>最近贸易日期</x:v>
      </x:c>
      <x:c r="U6" s="27" t="str">
        <x:v>API邮箱</x:v>
      </x:c>
      <x:c r="V6" s="27" t="str">
        <x:v>官网补充邮箱</x:v>
      </x:c>
      <x:c r="W6" s="27" t="str">
        <x:v>API电话</x:v>
      </x:c>
      <x:c r="X6" s="27" t="str">
        <x:v>官网补充电话</x:v>
      </x:c>
      <x:c r="Y6" s="27" t="str">
        <x:v>WhatsApp</x:v>
      </x:c>
      <x:c r="Z6" s="27" t="str">
        <x:v>社交媒体</x:v>
      </x:c>
      <x:c r="AA6" s="27" t="str">
        <x:v>官网联系渠道</x:v>
      </x:c>
      <x:c r="AB6" s="27" t="str">
        <x:v>API邮箱验证详情</x:v>
      </x:c>
      <x:c r="AC6" s="27" t="str">
        <x:v>产品名称</x:v>
      </x:c>
      <x:c r="AD6" s="27" t="str">
        <x:v>产品标签</x:v>
      </x:c>
      <x:c r="AE6" s="27" t="str">
        <x:v>产品描述/命中证据</x:v>
      </x:c>
      <x:c r="AF6" s="27" t="str">
        <x:v>产品别名</x:v>
      </x:c>
      <x:c r="AG6" s="27" t="str">
        <x:v>上游词</x:v>
      </x:c>
      <x:c r="AH6" s="27" t="str">
        <x:v>下游词</x:v>
      </x:c>
      <x:c r="AI6" s="27" t="str">
        <x:v>搜索词</x:v>
      </x:c>
      <x:c r="AJ6" s="27" t="str">
        <x:v>搜索原始来源</x:v>
      </x:c>
      <x:c r="AK6" s="27" t="str">
        <x:v>API联系方式来源</x:v>
      </x:c>
      <x:c r="AL6" s="27" t="str">
        <x:v>官网核验来源</x:v>
      </x:c>
      <x:c r="AM6" s="27" t="str">
        <x:v>官网核验说明</x:v>
      </x:c>
      <x:c r="AN6" s="27" t="str">
        <x:v>最后核验日期</x:v>
      </x:c>
    </x:row>
    <x:row r="7" ht="44" customHeight="1">
      <x:c r="A7" s="30" t="str">
        <x:v>API联系方式已获取</x:v>
      </x:c>
      <x:c r="B7" s="30" t="str">
        <x:v>高-欧美</x:v>
      </x:c>
      <x:c r="C7" s="30" t="str">
        <x:v>masking film</x:v>
      </x:c>
      <x:c r="D7" s="31" t="str">
        <x:v>71462461</x:v>
      </x:c>
      <x:c r="E7" s="30" t="str">
        <x:v>POLI-FILM AMERICA INC.</x:v>
      </x:c>
      <x:c r="F7" s="30" t="str">
        <x:v>GB</x:v>
      </x:c>
      <x:c r="G7" s="30" t="str">
        <x:f>IF(V7&lt;&gt;"",V7,U7)</x:f>
        <x:v>echrisman@polifilm.us</x:v>
      </x:c>
      <x:c r="H7" s="30" t="str">
        <x:f>IF(V7&lt;&gt;"","官网已验证",IF(ISNUMBER(SEARCH(":1",AB7)),"API已验证","未验证"))</x:f>
        <x:v>API已验证</x:v>
      </x:c>
      <x:c r="I7" s="30" t="str">
        <x:f>IF(X7&lt;&gt;"",X7,W7)</x:f>
      </x:c>
      <x:c r="J7" s="30" t="str"/>
      <x:c r="K7" s="35" t="n">
        <x:f>ROUND((IF(G7&lt;&gt;"",40,0)+IF(I7&lt;&gt;"",25,0)+IF(J7&lt;&gt;"",20,0)+IF(Z7&lt;&gt;"",15,0))/100,2)</x:f>
        <x:v>0.4</x:v>
      </x:c>
      <x:c r="L7" s="30" t="str">
        <x:v>待联系</x:v>
      </x:c>
      <x:c r="M7" s="30" t="str"/>
      <x:c r="N7" s="30" t="str">
        <x:v>Hampshire, Illinois</x:v>
      </x:c>
      <x:c r="O7" s="30" t="str"/>
      <x:c r="P7" s="30" t="str"/>
      <x:c r="Q7" s="32" t="n">
        <x:v>153</x:v>
      </x:c>
      <x:c r="R7" s="32" t="n">
        <x:v>839</x:v>
      </x:c>
      <x:c r="S7" s="33" t="n">
        <x:v>0.18239999999999998</x:v>
      </x:c>
      <x:c r="T7" s="34" t="n">
        <x:v>46211.666666666664</x:v>
      </x:c>
      <x:c r="U7" s="30" t="str">
        <x:v>echrisman@polifilm.us</x:v>
      </x:c>
      <x:c r="V7" s="30" t="str"/>
      <x:c r="W7" s="30" t="str"/>
      <x:c r="X7" s="30" t="str"/>
      <x:c r="Y7" s="30" t="str"/>
      <x:c r="Z7" s="30" t="str"/>
      <x:c r="AA7" s="30" t="str"/>
      <x:c r="AB7" s="30" t="str">
        <x:v>echrisman@polifilm.us:1</x:v>
      </x:c>
      <x:c r="AC7" s="30" t="str"/>
      <x:c r="AD7" s="30" t="str"/>
      <x:c r="AE7" s="30" t="str">
        <x:v>168 ROLLS OF POLYETHYLENE MASKING FILM (HS#39 20.10)P ACKED ONTO 28 PALLETS REF #103354 IR S NUMBER:36-3437 757</x:v>
      </x:c>
      <x:c r="AF7" s="30" t="str"/>
      <x:c r="AG7" s="30" t="str"/>
      <x:c r="AH7" s="30" t="str"/>
      <x:c r="AI7" s="30" t="str">
        <x:v>masking film</x:v>
      </x:c>
      <x:c r="AJ7" s="30" t="str">
        <x:v>masking-film-buyers-exact-search</x:v>
      </x:c>
      <x:c r="AK7" s="30" t="str">
        <x:v>UpKuajing customs company contact API</x:v>
      </x:c>
      <x:c r="AL7" s="30" t="str"/>
      <x:c r="AM7" s="30" t="str"/>
      <x:c r="AN7" s="34" t="n">
        <x:v>46220</x:v>
      </x:c>
    </x:row>
    <x:row r="8" ht="44" customHeight="1">
      <x:c r="A8" s="30" t="str">
        <x:v>API联系方式已获取</x:v>
      </x:c>
      <x:c r="B8" s="30" t="str">
        <x:v>高-欧美</x:v>
      </x:c>
      <x:c r="C8" s="30" t="str">
        <x:v>masking film</x:v>
      </x:c>
      <x:c r="D8" s="31" t="str">
        <x:v>13957403</x:v>
      </x:c>
      <x:c r="E8" s="30" t="str">
        <x:v>poli film mexico</x:v>
      </x:c>
      <x:c r="F8" s="30" t="str">
        <x:v>US</x:v>
      </x:c>
      <x:c r="G8" s="30" t="str">
        <x:f>IF(V8&lt;&gt;"",V8,U8)</x:f>
        <x:v>restrada@poli-film.net</x:v>
      </x:c>
      <x:c r="H8" s="30" t="str">
        <x:f>IF(V8&lt;&gt;"","官网已验证",IF(ISNUMBER(SEARCH(":1",AB8)),"API已验证","未验证"))</x:f>
        <x:v>API已验证</x:v>
      </x:c>
      <x:c r="I8" s="30" t="str">
        <x:f>IF(X8&lt;&gt;"",X8,W8)</x:f>
      </x:c>
      <x:c r="J8" s="30" t="str">
        <x:v>http://www.polifilmamerica.com/</x:v>
      </x:c>
      <x:c r="K8" s="35" t="n">
        <x:f>ROUND((IF(G8&lt;&gt;"",40,0)+IF(I8&lt;&gt;"",25,0)+IF(J8&lt;&gt;"",20,0)+IF(Z8&lt;&gt;"",15,0))/100,2)</x:f>
        <x:v>0.6</x:v>
      </x:c>
      <x:c r="L8" s="30" t="str">
        <x:v>待联系</x:v>
      </x:c>
      <x:c r="M8" s="30" t="str"/>
      <x:c r="N8" s="30" t="str">
        <x:v>carretera miguel alemar km 14.2 bodega 10 apodaca, nl 66630</x:v>
      </x:c>
      <x:c r="O8" s="30" t="str"/>
      <x:c r="P8" s="30" t="str">
        <x:v>cat,ra c,pole,nido,rolls,lye,ys,altamira,d 300,alta,printed film,shipping mark,tin,polyethylene,white po,umber,ion,polyethylene film,roof,adhesivo</x:v>
      </x:c>
      <x:c r="Q8" s="32" t="n">
        <x:v>17</x:v>
      </x:c>
      <x:c r="R8" s="32" t="n">
        <x:v>1116</x:v>
      </x:c>
      <x:c r="S8" s="33" t="n">
        <x:v>0.0152</x:v>
      </x:c>
      <x:c r="T8" s="34" t="n">
        <x:v>46140.666666666664</x:v>
      </x:c>
      <x:c r="U8" s="30" t="str">
        <x:v>restrada@poli-film.net</x:v>
      </x:c>
      <x:c r="V8" s="30" t="str"/>
      <x:c r="W8" s="30" t="str"/>
      <x:c r="X8" s="30" t="str"/>
      <x:c r="Y8" s="30" t="str"/>
      <x:c r="Z8" s="30" t="str"/>
      <x:c r="AA8" s="30" t="str"/>
      <x:c r="AB8" s="30" t="str">
        <x:v>restrada@poli-film.net:1</x:v>
      </x:c>
      <x:c r="AC8" s="30" t="str"/>
      <x:c r="AD8" s="30" t="str">
        <x:v>tin; polyethylene; masking film; poly ethylene; po le; cat; ion; rolls</x:v>
      </x:c>
      <x:c r="AE8" s="30" t="str">
        <x:v>POLYETHYLENE MASKING FILM - ROLLS OF POLY ETHYLENE MASKING FILM(..)PACK ED ONTO PALLETS REF# ,W-- PO #PO LEG// =CONSIGNEE &amp; NOTIFY CONTINUE: TEL:+- TAX IDEN TIFICATION NUMBE R:PME--T&lt;br/&gt;</x:v>
      </x:c>
      <x:c r="AF8" s="30" t="str"/>
      <x:c r="AG8" s="30" t="str"/>
      <x:c r="AH8" s="30" t="str"/>
      <x:c r="AI8" s="30" t="str">
        <x:v>masking film</x:v>
      </x:c>
      <x:c r="AJ8" s="30" t="str">
        <x:v>masking-film-buyers-exact-search</x:v>
      </x:c>
      <x:c r="AK8" s="30" t="str">
        <x:v>UpKuajing customs company contact API</x:v>
      </x:c>
      <x:c r="AL8" s="30" t="str"/>
      <x:c r="AM8" s="30" t="str"/>
      <x:c r="AN8" s="34" t="n">
        <x:v>46220</x:v>
      </x:c>
    </x:row>
    <x:row r="9" ht="44" customHeight="1">
      <x:c r="A9" s="30" t="str">
        <x:v>官网已核验-仅表单与电话</x:v>
      </x:c>
      <x:c r="B9" s="30" t="str">
        <x:v>高-欧美</x:v>
      </x:c>
      <x:c r="C9" s="30" t="str">
        <x:v>masking film</x:v>
      </x:c>
      <x:c r="D9" s="31" t="str">
        <x:v>229078</x:v>
      </x:c>
      <x:c r="E9" s="30" t="str">
        <x:v>pacoa</x:v>
      </x:c>
      <x:c r="F9" s="30" t="str">
        <x:v>US</x:v>
      </x:c>
      <x:c r="G9" s="30" t="str">
        <x:f>IF(V9&lt;&gt;"",V9,U9)</x:f>
        <x:v>jtaub@pacoa.com</x:v>
      </x:c>
      <x:c r="H9" s="30" t="str">
        <x:f>IF(V9&lt;&gt;"","官网已验证",IF(ISNUMBER(SEARCH(":1",AB9)),"API已验证","未验证"))</x:f>
        <x:v>未验证</x:v>
      </x:c>
      <x:c r="I9" s="30" t="str">
        <x:f>IF(X9&lt;&gt;"",X9,W9)</x:f>
        <x:v>888.284.3000; 516.284.3000</x:v>
      </x:c>
      <x:c r="J9" s="30" t="str">
        <x:v>www.pacoa.com</x:v>
      </x:c>
      <x:c r="K9" s="35" t="n">
        <x:f>ROUND((IF(G9&lt;&gt;"",40,0)+IF(I9&lt;&gt;"",25,0)+IF(J9&lt;&gt;"",20,0)+IF(Z9&lt;&gt;"",15,0))/100,2)</x:f>
        <x:v>0.85</x:v>
      </x:c>
      <x:c r="L9" s="30" t="str">
        <x:v>待联系</x:v>
      </x:c>
      <x:c r="M9" s="30" t="str"/>
      <x:c r="N9" s="30" t="str">
        <x:v>7 harbor park drive port washington, new york, 11050</x:v>
      </x:c>
      <x:c r="O9" s="30" t="str">
        <x:v>7 HARBOR PARK DR, PORT WASHINGTON, NY 11050, USA</x:v>
      </x:c>
      <x:c r="P9" s="30" t="str">
        <x:v>handtools,caulking gun,trap,cable ties,industrial plastic,clamp,paint roller,cod,ion,hammer,hawk,ratchet tie down,paint grid,trowel aluminum,pole,wood pole,bungee cord,hex key,xt,roller frame</x:v>
      </x:c>
      <x:c r="Q9" s="32" t="n">
        <x:v>11</x:v>
      </x:c>
      <x:c r="R9" s="32" t="n">
        <x:v>1327</x:v>
      </x:c>
      <x:c r="S9" s="33" t="n">
        <x:v>0.0083</x:v>
      </x:c>
      <x:c r="T9" s="34" t="n">
        <x:v>46146.666666666664</x:v>
      </x:c>
      <x:c r="U9" s="30" t="str">
        <x:v>jtaub@pacoa.com</x:v>
      </x:c>
      <x:c r="V9" s="30" t="str"/>
      <x:c r="W9" s="30" t="str">
        <x:v>+1 516-284-3000</x:v>
      </x:c>
      <x:c r="X9" s="30" t="str">
        <x:v>888.284.3000; 516.284.3000</x:v>
      </x:c>
      <x:c r="Y9" s="30" t="str"/>
      <x:c r="Z9" s="30" t="str"/>
      <x:c r="AA9" s="30" t="str">
        <x:v>Website inquiry form</x:v>
      </x:c>
      <x:c r="AB9" s="30" t="str">
        <x:v>jtaub@pacoa.com:0</x:v>
      </x:c>
      <x:c r="AC9" s="30" t="str"/>
      <x:c r="AD9" s="30" t="str">
        <x:v>wood; plastic drop cloth; ipm; caution tape; sol; masking film; packing material; hat; xxxxx</x:v>
      </x:c>
      <x:c r="AE9" s="30" t="str">
        <x:v>2,886 CTNS OF PLASTIC DROP CLOTH, MASKING FILM AND CAUTION TAPE P.O. NO.: XXXXXX WE CERT IFY THAT THIS SHIPMENT CONTAINS NO SOLID WOODPACKING MATERIALS.&lt;br/&gt;</x:v>
      </x:c>
      <x:c r="AF9" s="30" t="str"/>
      <x:c r="AG9" s="30" t="str"/>
      <x:c r="AH9" s="30" t="str"/>
      <x:c r="AI9" s="30" t="str">
        <x:v>masking film</x:v>
      </x:c>
      <x:c r="AJ9" s="30" t="str">
        <x:v>masking-film-buyers-exact-search</x:v>
      </x:c>
      <x:c r="AK9" s="30" t="str">
        <x:v>UpKuajing customs company contact API</x:v>
      </x:c>
      <x:c r="AL9" s="30" t="str">
        <x:v>https://www.pacoa.com/contactus</x:v>
      </x:c>
      <x:c r="AM9" s="30" t="str">
        <x:v>Official contact page confirmed address, phone numbers and inquiry form; API email was not displayed on the page.</x:v>
      </x:c>
      <x:c r="AN9" s="34" t="n">
        <x:v>46220</x:v>
      </x:c>
    </x:row>
    <x:row r="10" ht="44" customHeight="1">
      <x:c r="A10" s="30" t="str">
        <x:v>官网已核验-API邮箱已确认</x:v>
      </x:c>
      <x:c r="B10" s="30" t="str">
        <x:v>高-欧美</x:v>
      </x:c>
      <x:c r="C10" s="30" t="str">
        <x:v>masking film</x:v>
      </x:c>
      <x:c r="D10" s="31" t="str">
        <x:v>209484</x:v>
      </x:c>
      <x:c r="E10" s="30" t="str">
        <x:v>thermwell products</x:v>
      </x:c>
      <x:c r="F10" s="30" t="str">
        <x:v>US</x:v>
      </x:c>
      <x:c r="G10" s="30" t="str">
        <x:f>IF(V10&lt;&gt;"",V10,U10)</x:f>
        <x:v>support@frostking.com</x:v>
      </x:c>
      <x:c r="H10" s="30" t="str">
        <x:f>IF(V10&lt;&gt;"","官网已验证",IF(ISNUMBER(SEARCH(":1",AB10)),"API已验证","未验证"))</x:f>
        <x:v>官网已验证</x:v>
      </x:c>
      <x:c r="I10" s="30" t="str">
        <x:f>IF(X10&lt;&gt;"",X10,W10)</x:f>
        <x:v>201-684-4400; 775-331-5291</x:v>
      </x:c>
      <x:c r="J10" s="30" t="str">
        <x:v>http://www.frostking.com/</x:v>
      </x:c>
      <x:c r="K10" s="35" t="n">
        <x:f>ROUND((IF(G10&lt;&gt;"",40,0)+IF(I10&lt;&gt;"",25,0)+IF(J10&lt;&gt;"",20,0)+IF(Z10&lt;&gt;"",15,0))/100,2)</x:f>
        <x:v>0.85</x:v>
      </x:c>
      <x:c r="L10" s="30" t="str">
        <x:v>待联系</x:v>
      </x:c>
      <x:c r="M10" s="30" t="str"/>
      <x:c r="N10" s="30" t="str">
        <x:v>420 rt. 17 south.mahwah, nj 07430</x:v>
      </x:c>
      <x:c r="O10" s="30" t="str">
        <x:v>420 Route 17 South, Mahwah, NJ 07430, USA</x:v>
      </x:c>
      <x:c r="P10" s="30" t="str">
        <x:v>garage,ev,rubber insert,floor,high cube,un no,black vinyl,weather strip,foil duct,sheet,count,sunrise,kit,tool cart,y 100,irene,replacement seal,garage door,seal kit,a1</x:v>
      </x:c>
      <x:c r="Q10" s="32" t="n">
        <x:v>10</x:v>
      </x:c>
      <x:c r="R10" s="32" t="n">
        <x:v>8113</x:v>
      </x:c>
      <x:c r="S10" s="33" t="n">
        <x:v>0.0012</x:v>
      </x:c>
      <x:c r="T10" s="34" t="n">
        <x:v>46147.666666666664</x:v>
      </x:c>
      <x:c r="U10" s="30" t="str">
        <x:v>support@frostking.com</x:v>
      </x:c>
      <x:c r="V10" s="30" t="str">
        <x:v>support@frostking.com</x:v>
      </x:c>
      <x:c r="W10" s="30" t="str">
        <x:v>+1 201-684-4400</x:v>
      </x:c>
      <x:c r="X10" s="30" t="str">
        <x:v>201-684-4400; 775-331-5291</x:v>
      </x:c>
      <x:c r="Y10" s="30" t="str"/>
      <x:c r="Z10" s="30" t="str"/>
      <x:c r="AA10" s="30" t="str">
        <x:v>Official email and website inquiry form</x:v>
      </x:c>
      <x:c r="AB10" s="30" t="str">
        <x:v>support@frostking.com:0</x:v>
      </x:c>
      <x:c r="AC10" s="30" t="str"/>
      <x:c r="AD10" s="30" t="str">
        <x:v>plastic masking film</x:v>
      </x:c>
      <x:c r="AE10" s="30" t="str">
        <x:v>PLASTIC MASKING FILM,HS:392010&lt;br/&gt;</x:v>
      </x:c>
      <x:c r="AF10" s="30" t="str"/>
      <x:c r="AG10" s="30" t="str"/>
      <x:c r="AH10" s="30" t="str"/>
      <x:c r="AI10" s="30" t="str">
        <x:v>masking film</x:v>
      </x:c>
      <x:c r="AJ10" s="30" t="str">
        <x:v>masking-film-buyers-exact-search</x:v>
      </x:c>
      <x:c r="AK10" s="30" t="str">
        <x:v>UpKuajing customs company contact API</x:v>
      </x:c>
      <x:c r="AL10" s="30" t="str">
        <x:v>https://www.frostking.com/contact; https://www.frostking.com/accessibility-statement</x:v>
      </x:c>
      <x:c r="AM10" s="30" t="str">
        <x:v>Official accessibility page confirms support@frostking.com, matching the API email.</x:v>
      </x:c>
      <x:c r="AN10" s="34" t="n">
        <x:v>46220</x:v>
      </x:c>
    </x:row>
    <x:row r="11" ht="44" customHeight="1">
      <x:c r="A11" s="30" t="str">
        <x:v>官网已补充客服邮箱与电话</x:v>
      </x:c>
      <x:c r="B11" s="30" t="str">
        <x:v>高-欧美</x:v>
      </x:c>
      <x:c r="C11" s="30" t="str">
        <x:v>masking film</x:v>
      </x:c>
      <x:c r="D11" s="31" t="str">
        <x:v>71495262</x:v>
      </x:c>
      <x:c r="E11" s="30" t="str">
        <x:v>TPLOGIX, INC</x:v>
      </x:c>
      <x:c r="F11" s="30" t="str">
        <x:v>US</x:v>
      </x:c>
      <x:c r="G11" s="30" t="str">
        <x:f>IF(V11&lt;&gt;"",V11,U11)</x:f>
        <x:v>csr1@tplogix.com; csr5@tplogix.com</x:v>
      </x:c>
      <x:c r="H11" s="30" t="str">
        <x:f>IF(V11&lt;&gt;"","官网已验证",IF(ISNUMBER(SEARCH(":1",AB11)),"API已验证","未验证"))</x:f>
        <x:v>官网已验证</x:v>
      </x:c>
      <x:c r="I11" s="30" t="str">
        <x:f>IF(X11&lt;&gt;"",X11,W11)</x:f>
        <x:v>562-474-8460</x:v>
      </x:c>
      <x:c r="J11" s="30" t="str"/>
      <x:c r="K11" s="35" t="n">
        <x:f>ROUND((IF(G11&lt;&gt;"",40,0)+IF(I11&lt;&gt;"",25,0)+IF(J11&lt;&gt;"",20,0)+IF(Z11&lt;&gt;"",15,0))/100,2)</x:f>
        <x:v>0.65</x:v>
      </x:c>
      <x:c r="L11" s="30" t="str">
        <x:v>待联系</x:v>
      </x:c>
      <x:c r="M11" s="30" t="str"/>
      <x:c r="N11" s="30" t="str">
        <x:v>Fountain Valley, California</x:v>
      </x:c>
      <x:c r="O11" s="30" t="str">
        <x:v>1901 HARRISON ST STE 1100, OAKLAND, CA 94612-3648, USA</x:v>
      </x:c>
      <x:c r="P11" s="30" t="str"/>
      <x:c r="Q11" s="32" t="n">
        <x:v>7</x:v>
      </x:c>
      <x:c r="R11" s="32" t="n">
        <x:v>19792</x:v>
      </x:c>
      <x:c r="S11" s="33" t="n">
        <x:v>0.0004</x:v>
      </x:c>
      <x:c r="T11" s="34" t="n">
        <x:v>46133.666666666664</x:v>
      </x:c>
      <x:c r="U11" s="30" t="str">
        <x:v>r1@tplogix.com</x:v>
      </x:c>
      <x:c r="V11" s="30" t="str">
        <x:v>csr1@tplogix.com; csr5@tplogix.com</x:v>
      </x:c>
      <x:c r="W11" s="30" t="str">
        <x:v>+1 562-474-8460; 5624748460</x:v>
      </x:c>
      <x:c r="X11" s="30" t="str">
        <x:v>562-474-8460</x:v>
      </x:c>
      <x:c r="Y11" s="30" t="str"/>
      <x:c r="Z11" s="30" t="str"/>
      <x:c r="AA11" s="30" t="str">
        <x:v>Official customer-service emails, phone and inquiry form</x:v>
      </x:c>
      <x:c r="AB11" s="30" t="str">
        <x:v>r1@tplogix.com:0</x:v>
      </x:c>
      <x:c r="AC11" s="30" t="str"/>
      <x:c r="AD11" s="30" t="str"/>
      <x:c r="AE11" s="30" t="str">
        <x:v>MASKING FILM HBL BCOLO SCAC CODE BCPI ACI CODE W</x:v>
      </x:c>
      <x:c r="AF11" s="30" t="str"/>
      <x:c r="AG11" s="30" t="str"/>
      <x:c r="AH11" s="30" t="str"/>
      <x:c r="AI11" s="30" t="str">
        <x:v>masking film</x:v>
      </x:c>
      <x:c r="AJ11" s="30" t="str">
        <x:v>masking-film-buyers-exact-search</x:v>
      </x:c>
      <x:c r="AK11" s="30" t="str">
        <x:v>UpKuajing customs company contact API</x:v>
      </x:c>
      <x:c r="AL11" s="30" t="str">
        <x:v>https://tplogix.com/contact-us/</x:v>
      </x:c>
      <x:c r="AM11" s="30" t="str">
        <x:v>Official contact page provides two customer-service emails; use these ahead of the unverified API email.</x:v>
      </x:c>
      <x:c r="AN11" s="34" t="n">
        <x:v>46220</x:v>
      </x:c>
    </x:row>
    <x:row r="12" ht="44" customHeight="1">
      <x:c r="A12" s="30" t="str">
        <x:v>API联系方式已获取</x:v>
      </x:c>
      <x:c r="B12" s="30" t="str">
        <x:v>常规-全球</x:v>
      </x:c>
      <x:c r="C12" s="30" t="str">
        <x:v>tape</x:v>
      </x:c>
      <x:c r="D12" s="31" t="str">
        <x:v>20189222</x:v>
      </x:c>
      <x:c r="E12" s="30" t="str">
        <x:v>DIXON TECHNOLOGIES (INDIA) LIMITED</x:v>
      </x:c>
      <x:c r="F12" s="30" t="str">
        <x:v>IN</x:v>
      </x:c>
      <x:c r="G12" s="30" t="str">
        <x:f>IF(V12&lt;&gt;"",V12,U12)</x:f>
        <x:v>investorrelations@dixoninfo.com</x:v>
      </x:c>
      <x:c r="H12" s="30" t="str">
        <x:f>IF(V12&lt;&gt;"","官网已验证",IF(ISNUMBER(SEARCH(":1",AB12)),"API已验证","未验证"))</x:f>
        <x:v>API已验证</x:v>
      </x:c>
      <x:c r="I12" s="30" t="str">
        <x:f>IF(X12&lt;&gt;"",X12,W12)</x:f>
        <x:v>+91 120 473 7200</x:v>
      </x:c>
      <x:c r="J12" s="30" t="str">
        <x:v>www.dixoninfo.com</x:v>
      </x:c>
      <x:c r="K12" s="35" t="n">
        <x:f>ROUND((IF(G12&lt;&gt;"",40,0)+IF(I12&lt;&gt;"",25,0)+IF(J12&lt;&gt;"",20,0)+IF(Z12&lt;&gt;"",15,0))/100,2)</x:f>
        <x:v>1</x:v>
      </x:c>
      <x:c r="L12" s="30" t="str">
        <x:v>待联系</x:v>
      </x:c>
      <x:c r="M12" s="30" t="str"/>
      <x:c r="N12" s="30" t="str">
        <x:v>B-14 &amp; 15 , NOIDA PHASE II</x:v>
      </x:c>
      <x:c r="O12" s="30" t="str"/>
      <x:c r="P12" s="30" t="str"/>
      <x:c r="Q12" s="32" t="n">
        <x:v>7587</x:v>
      </x:c>
      <x:c r="R12" s="32" t="n">
        <x:v>413868</x:v>
      </x:c>
      <x:c r="S12" s="33" t="n">
        <x:v>0.0183</x:v>
      </x:c>
      <x:c r="T12" s="34" t="n">
        <x:v>45868.666666666664</x:v>
      </x:c>
      <x:c r="U12" s="30" t="str">
        <x:v>investorrelations@dixoninfo.com</x:v>
      </x:c>
      <x:c r="V12" s="30" t="str"/>
      <x:c r="W12" s="30" t="str">
        <x:v>+91 120 473 7200</x:v>
      </x:c>
      <x:c r="X12" s="30" t="str"/>
      <x:c r="Y12" s="30" t="str"/>
      <x:c r="Z12" s="30" t="str">
        <x:v>https://www.linkedin.com/in/dixon-technologies-india-limited-625197186</x:v>
      </x:c>
      <x:c r="AA12" s="30" t="str"/>
      <x:c r="AB12" s="30" t="str">
        <x:v>investorrelations@dixoninfo.com:1</x:v>
      </x:c>
      <x:c r="AC12" s="30" t="str">
        <x:v>Rubber Tape; Parts for LED TV</x:v>
      </x:c>
      <x:c r="AD12" s="30" t="str">
        <x:v>Rubber; Tape; TPE; LED TV; Parts</x:v>
      </x:c>
      <x:c r="AE12" s="30" t="str">
        <x:v>RUBBER,TAPE,TPE,300X4.5X2,32,43,55DOTBL-0609-0000019-10-PARTS FOR LED TV-FOCPARTS FOR LED TV</x:v>
      </x:c>
      <x:c r="AF12" s="30" t="str">
        <x:v>Rubber Adhesive Tape; LED TV Accessories; TPE Tape; TV Parts; Rubber Strip</x:v>
      </x:c>
      <x:c r="AG12" s="30" t="str">
        <x:v>Rubber Resin; TPE Polymer; Plastic; Metal; Electronic Components</x:v>
      </x:c>
      <x:c r="AH12" s="30" t="str">
        <x:v>LED TVs; Monitor; Display Devices; Home Appliances; Consumer Electronics</x:v>
      </x:c>
      <x:c r="AI12" s="30" t="str">
        <x:v>tape</x:v>
      </x:c>
      <x:c r="AJ12" s="30" t="str">
        <x:v>tape-buyers-fuzzy-search</x:v>
      </x:c>
      <x:c r="AK12" s="30" t="str">
        <x:v>UpKuajing customs company contact API</x:v>
      </x:c>
      <x:c r="AL12" s="30" t="str"/>
      <x:c r="AM12" s="30" t="str"/>
      <x:c r="AN12" s="34" t="n">
        <x:v>46220</x:v>
      </x:c>
    </x:row>
    <x:row r="13" ht="44" customHeight="1">
      <x:c r="A13" s="30" t="str">
        <x:v>API联系方式已获取</x:v>
      </x:c>
      <x:c r="B13" s="30" t="str">
        <x:v>常规-全球</x:v>
      </x:c>
      <x:c r="C13" s="30" t="str">
        <x:v>tape</x:v>
      </x:c>
      <x:c r="D13" s="31" t="str">
        <x:v>1945196</x:v>
      </x:c>
      <x:c r="E13" s="30" t="str">
        <x:v>laarcourier express s.a.</x:v>
      </x:c>
      <x:c r="F13" s="30" t="str">
        <x:v>EC</x:v>
      </x:c>
      <x:c r="G13" s="30" t="str">
        <x:f>IF(V13&lt;&gt;"",V13,U13)</x:f>
        <x:v>ccoque@grupolaar.com</x:v>
      </x:c>
      <x:c r="H13" s="30" t="str">
        <x:f>IF(V13&lt;&gt;"","官网已验证",IF(ISNUMBER(SEARCH(":1",AB13)),"API已验证","未验证"))</x:f>
        <x:v>API已验证</x:v>
      </x:c>
      <x:c r="I13" s="30" t="str">
        <x:f>IF(X13&lt;&gt;"",X13,W13)</x:f>
        <x:v>+593 2-396-0000</x:v>
      </x:c>
      <x:c r="J13" s="30" t="str">
        <x:v>www.laarcourier.com</x:v>
      </x:c>
      <x:c r="K13" s="35" t="n">
        <x:f>ROUND((IF(G13&lt;&gt;"",40,0)+IF(I13&lt;&gt;"",25,0)+IF(J13&lt;&gt;"",20,0)+IF(Z13&lt;&gt;"",15,0))/100,2)</x:f>
        <x:v>0.85</x:v>
      </x:c>
      <x:c r="L13" s="30" t="str">
        <x:v>待联系</x:v>
      </x:c>
      <x:c r="M13" s="30" t="str"/>
      <x:c r="N13" s="30" t="str">
        <x:v>GRUPO LAAR , DE LOS CIPRESES N26 , CARCELEN INDUSTRIAL</x:v>
      </x:c>
      <x:c r="O13" s="30" t="str"/>
      <x:c r="P13" s="30" t="str"/>
      <x:c r="Q13" s="32" t="n">
        <x:v>6944</x:v>
      </x:c>
      <x:c r="R13" s="32" t="n">
        <x:v>1729929</x:v>
      </x:c>
      <x:c r="S13" s="33" t="n">
        <x:v>0.004</x:v>
      </x:c>
      <x:c r="T13" s="34" t="n">
        <x:v>46125.666666666664</x:v>
      </x:c>
      <x:c r="U13" s="30" t="str">
        <x:v>ccoque@grupolaar.com</x:v>
      </x:c>
      <x:c r="V13" s="30" t="str"/>
      <x:c r="W13" s="30" t="str">
        <x:v>+593 2-396-0000</x:v>
      </x:c>
      <x:c r="X13" s="30" t="str"/>
      <x:c r="Y13" s="30" t="str"/>
      <x:c r="Z13" s="30" t="str"/>
      <x:c r="AA13" s="30" t="str"/>
      <x:c r="AB13" s="30" t="str">
        <x:v>ccoque@grupolaar.com:1</x:v>
      </x:c>
      <x:c r="AC13" s="30" t="str"/>
      <x:c r="AD13" s="30" t="str">
        <x:v>coffee maker; glove; bedspread; pressure transmitter</x:v>
      </x:c>
      <x:c r="AE13" s="30" t="str">
        <x:v>TWO-PIECE SWIMSUIT 35911615558 SOMBRERO DE COPA VACIO 10712856281 VESTIDO 9850584530 SOMBRERO DE COPA VACIO 89050573348 TWO-PIECE SWIMSUIT 4804392116 REPAIR TAPE 44363863818 LONG SLEEVE CREW NECK FOR</x:v>
      </x:c>
      <x:c r="AF13" s="30" t="str"/>
      <x:c r="AG13" s="30" t="str"/>
      <x:c r="AH13" s="30" t="str"/>
      <x:c r="AI13" s="30" t="str">
        <x:v>tape</x:v>
      </x:c>
      <x:c r="AJ13" s="30" t="str">
        <x:v>tape-buyers-fuzzy-search</x:v>
      </x:c>
      <x:c r="AK13" s="30" t="str">
        <x:v>UpKuajing customs company contact API</x:v>
      </x:c>
      <x:c r="AL13" s="30" t="str"/>
      <x:c r="AM13" s="30" t="str"/>
      <x:c r="AN13" s="34" t="n">
        <x:v>46220</x:v>
      </x:c>
    </x:row>
    <x:row r="14" ht="44" customHeight="1">
      <x:c r="A14" s="30" t="str">
        <x:v>API联系方式已获取</x:v>
      </x:c>
      <x:c r="B14" s="30" t="str">
        <x:v>常规-全球</x:v>
      </x:c>
      <x:c r="C14" s="30" t="str">
        <x:v>tape</x:v>
      </x:c>
      <x:c r="D14" s="31" t="str">
        <x:v>20189128</x:v>
      </x:c>
      <x:c r="E14" s="30" t="str">
        <x:v>SAMSUNG INDIA ELECTRONICS PRIVATE LIMITED</x:v>
      </x:c>
      <x:c r="F14" s="30" t="str">
        <x:v>IN</x:v>
      </x:c>
      <x:c r="G14" s="30" t="str">
        <x:f>IF(V14&lt;&gt;"",V14,U14)</x:f>
        <x:v>komal.neb@samsung.com</x:v>
      </x:c>
      <x:c r="H14" s="30" t="str">
        <x:f>IF(V14&lt;&gt;"","官网已验证",IF(ISNUMBER(SEARCH(":1",AB14)),"API已验证","未验证"))</x:f>
        <x:v>未验证</x:v>
      </x:c>
      <x:c r="I14" s="30" t="str">
        <x:f>IF(X14&lt;&gt;"",X14,W14)</x:f>
        <x:v>+91 124 488 1234</x:v>
      </x:c>
      <x:c r="J14" s="30" t="str">
        <x:v>www.samsung.com/in</x:v>
      </x:c>
      <x:c r="K14" s="35" t="n">
        <x:f>ROUND((IF(G14&lt;&gt;"",40,0)+IF(I14&lt;&gt;"",25,0)+IF(J14&lt;&gt;"",20,0)+IF(Z14&lt;&gt;"",15,0))/100,2)</x:f>
        <x:v>0.85</x:v>
      </x:c>
      <x:c r="L14" s="30" t="str">
        <x:v>待联系</x:v>
      </x:c>
      <x:c r="M14" s="30" t="str"/>
      <x:c r="N14" s="30" t="str">
        <x:v>SIXTH FLOOR, DLF CENTRE , SANSAD MARG</x:v>
      </x:c>
      <x:c r="O14" s="30" t="str"/>
      <x:c r="P14" s="30" t="str">
        <x:v>Offers industrial and commercial electric apparatus and other equipment which include power converters (i.E., AC to DC and DC to AC), power supplies, surge suppressors, and similar equipment for industrial-type and consumer-type equipment</x:v>
      </x:c>
      <x:c r="Q14" s="32" t="n">
        <x:v>5800</x:v>
      </x:c>
      <x:c r="R14" s="32" t="n">
        <x:v>1405688</x:v>
      </x:c>
      <x:c r="S14" s="33" t="n">
        <x:v>0.0040999999999999995</x:v>
      </x:c>
      <x:c r="T14" s="34" t="n">
        <x:v>45868.666666666664</x:v>
      </x:c>
      <x:c r="U14" s="30" t="str">
        <x:v>komal.neb@samsung.com</x:v>
      </x:c>
      <x:c r="V14" s="30" t="str"/>
      <x:c r="W14" s="30" t="str">
        <x:v>+91 124 488 1234</x:v>
      </x:c>
      <x:c r="X14" s="30" t="str"/>
      <x:c r="Y14" s="30" t="str"/>
      <x:c r="Z14" s="30" t="str"/>
      <x:c r="AA14" s="30" t="str"/>
      <x:c r="AB14" s="30" t="str">
        <x:v>komal.neb@samsung.com:0</x:v>
      </x:c>
      <x:c r="AC14" s="30" t="str"/>
      <x:c r="AD14" s="30" t="str"/>
      <x:c r="AE14" s="30" t="str">
        <x:v>TAPE-SINGLE FACE PAPER,T0.14,W75,L400M,B (0203-007500)(CEPANO:C020-25-0017622)TAPE-SINGLE FACE PAPER,T0.14,W75,L400M,B (0203-007500)(CEPA</x:v>
      </x:c>
      <x:c r="AF14" s="30" t="str"/>
      <x:c r="AG14" s="30" t="str"/>
      <x:c r="AH14" s="30" t="str"/>
      <x:c r="AI14" s="30" t="str">
        <x:v>tape</x:v>
      </x:c>
      <x:c r="AJ14" s="30" t="str">
        <x:v>tape-buyers-fuzzy-search</x:v>
      </x:c>
      <x:c r="AK14" s="30" t="str">
        <x:v>UpKuajing customs company contact API</x:v>
      </x:c>
      <x:c r="AL14" s="30" t="str"/>
      <x:c r="AM14" s="30" t="str"/>
      <x:c r="AN14" s="34" t="n">
        <x:v>46220</x:v>
      </x:c>
    </x:row>
    <x:row r="15" ht="44" customHeight="1">
      <x:c r="A15" s="30" t="str">
        <x:v>API联系方式已获取</x:v>
      </x:c>
      <x:c r="B15" s="30" t="str">
        <x:v>常规-全球</x:v>
      </x:c>
      <x:c r="C15" s="30" t="str">
        <x:v>tape</x:v>
      </x:c>
      <x:c r="D15" s="31" t="str">
        <x:v>20195417</x:v>
      </x:c>
      <x:c r="E15" s="30" t="str">
        <x:v>VIVO MOBILE INDIA PRIVATE LIMITED</x:v>
      </x:c>
      <x:c r="F15" s="30" t="str">
        <x:v>IN</x:v>
      </x:c>
      <x:c r="G15" s="30" t="str">
        <x:f>IF(V15&lt;&gt;"",V15,U15)</x:f>
        <x:v>support.in@vivo.com; vcare@vivo.com</x:v>
      </x:c>
      <x:c r="H15" s="30" t="str">
        <x:f>IF(V15&lt;&gt;"","官网已验证",IF(ISNUMBER(SEARCH(":1",AB15)),"API已验证","未验证"))</x:f>
        <x:v>API已验证</x:v>
      </x:c>
      <x:c r="I15" s="30" t="str">
        <x:f>IF(X15&lt;&gt;"",X15,W15)</x:f>
        <x:v>01206283388; 18001023388; 18002083388; 18002084488; +91 120 628 3388</x:v>
      </x:c>
      <x:c r="J15" s="30" t="str">
        <x:v>www.vivo.co.in</x:v>
      </x:c>
      <x:c r="K15" s="35" t="n">
        <x:f>ROUND((IF(G15&lt;&gt;"",40,0)+IF(I15&lt;&gt;"",25,0)+IF(J15&lt;&gt;"",20,0)+IF(Z15&lt;&gt;"",15,0))/100,2)</x:f>
        <x:v>1</x:v>
      </x:c>
      <x:c r="L15" s="30" t="str">
        <x:v>待联系</x:v>
      </x:c>
      <x:c r="M15" s="30" t="str"/>
      <x:c r="N15" s="30" t="str">
        <x:v>VILLAGE WAZIRABAD, SECTOR-54 , 10TH &amp; 11TH FLOOR, PALM SPRINGS PLAZA (COMPLEX)</x:v>
      </x:c>
      <x:c r="O15" s="30" t="str"/>
      <x:c r="P15" s="30" t="str">
        <x:v>Wireless communications products</x:v>
      </x:c>
      <x:c r="Q15" s="32" t="n">
        <x:v>4462</x:v>
      </x:c>
      <x:c r="R15" s="32" t="n">
        <x:v>740579</x:v>
      </x:c>
      <x:c r="S15" s="33" t="n">
        <x:v>0.006</x:v>
      </x:c>
      <x:c r="T15" s="34" t="n">
        <x:v>45868.666666666664</x:v>
      </x:c>
      <x:c r="U15" s="30" t="str">
        <x:v>support.in@vivo.com; vcare@vivo.com</x:v>
      </x:c>
      <x:c r="V15" s="30" t="str"/>
      <x:c r="W15" s="30" t="str">
        <x:v>01206283388; 18001023388; 18002083388; 18002084488; +91 120 628 3388</x:v>
      </x:c>
      <x:c r="X15" s="30" t="str"/>
      <x:c r="Y15" s="30" t="str"/>
      <x:c r="Z15" s="30" t="str">
        <x:v>https://www.facebook.com/vivoIndia; https://www.instagram.com/accounts/login; https://www.linkedin.com/company/vivo-india; https://twitter.com/Vivo_India; https://www.youtube.com/c/VivoIndiaofficial</x:v>
      </x:c>
      <x:c r="AA15" s="30" t="str"/>
      <x:c r="AB15" s="30" t="str">
        <x:v>support.in@vivo.com:1; vcare@vivo.com:1</x:v>
      </x:c>
      <x:c r="AC15" s="30" t="str"/>
      <x:c r="AD15" s="30" t="str"/>
      <x:c r="AE15" s="30" t="str">
        <x:v>5181720 WATER CONTACT INDICATOR TAPE (PAPER) (PARTS FOR MFG.OF MOBILE PHONE)5181720 WATER CONTACT INDICATOR TAPE (PAPER) (PARTS FOR MFG.</x:v>
      </x:c>
      <x:c r="AF15" s="30" t="str"/>
      <x:c r="AG15" s="30" t="str"/>
      <x:c r="AH15" s="30" t="str"/>
      <x:c r="AI15" s="30" t="str">
        <x:v>tape</x:v>
      </x:c>
      <x:c r="AJ15" s="30" t="str">
        <x:v>tape-buyers-fuzzy-search</x:v>
      </x:c>
      <x:c r="AK15" s="30" t="str">
        <x:v>UpKuajing customs company contact API</x:v>
      </x:c>
      <x:c r="AL15" s="30" t="str"/>
      <x:c r="AM15" s="30" t="str"/>
      <x:c r="AN15" s="34" t="n">
        <x:v>46220</x:v>
      </x:c>
    </x:row>
    <x:row r="16" ht="44" customHeight="1">
      <x:c r="A16" s="30" t="str">
        <x:v>API联系方式已获取</x:v>
      </x:c>
      <x:c r="B16" s="30" t="str">
        <x:v>常规-全球</x:v>
      </x:c>
      <x:c r="C16" s="30" t="str">
        <x:v>tape</x:v>
      </x:c>
      <x:c r="D16" s="31" t="str">
        <x:v>80133</x:v>
      </x:c>
      <x:c r="E16" s="30" t="str">
        <x:v>brandix apparel india pvt.ltd.</x:v>
      </x:c>
      <x:c r="F16" s="30" t="str">
        <x:v>IN</x:v>
      </x:c>
      <x:c r="G16" s="30" t="str">
        <x:f>IF(V16&lt;&gt;"",V16,U16)</x:f>
        <x:v>info@brandix.com</x:v>
      </x:c>
      <x:c r="H16" s="30" t="str">
        <x:f>IF(V16&lt;&gt;"","官网已验证",IF(ISNUMBER(SEARCH(":1",AB16)),"API已验证","未验证"))</x:f>
        <x:v>API已验证</x:v>
      </x:c>
      <x:c r="I16" s="30" t="str">
        <x:f>IF(X16&lt;&gt;"",X16,W16)</x:f>
      </x:c>
      <x:c r="J16" s="30" t="str">
        <x:v>www.brandix.com</x:v>
      </x:c>
      <x:c r="K16" s="35" t="n">
        <x:f>ROUND((IF(G16&lt;&gt;"",40,0)+IF(I16&lt;&gt;"",25,0)+IF(J16&lt;&gt;"",20,0)+IF(Z16&lt;&gt;"",15,0))/100,2)</x:f>
        <x:v>0.6</x:v>
      </x:c>
      <x:c r="L16" s="30" t="str">
        <x:v>待联系</x:v>
      </x:c>
      <x:c r="M16" s="30" t="str"/>
      <x:c r="N16" s="30" t="str">
        <x:v>409 galle road colombo 3 sri lanka</x:v>
      </x:c>
      <x:c r="O16" s="30" t="str"/>
      <x:c r="P16" s="30" t="str">
        <x:v>elastan,arrow,al bl,8 gsm,shirts,manmade fiber,cotton organic,bra size,structure,knit fabric,ciq,knitted fabric,hand tag,cacique,dow,cacl,table,twill,rubber yarn,blu</x:v>
      </x:c>
      <x:c r="Q16" s="32" t="n">
        <x:v>4245</x:v>
      </x:c>
      <x:c r="R16" s="32" t="n">
        <x:v>139671</x:v>
      </x:c>
      <x:c r="S16" s="33" t="n">
        <x:v>0.0304</x:v>
      </x:c>
      <x:c r="T16" s="34" t="n">
        <x:v>46141.666666666664</x:v>
      </x:c>
      <x:c r="U16" s="30" t="str">
        <x:v>info@brandix.com</x:v>
      </x:c>
      <x:c r="V16" s="30" t="str"/>
      <x:c r="W16" s="30" t="str"/>
      <x:c r="X16" s="30" t="str"/>
      <x:c r="Y16" s="30" t="str"/>
      <x:c r="Z16" s="30" t="str"/>
      <x:c r="AA16" s="30" t="str"/>
      <x:c r="AB16" s="30" t="str">
        <x:v>info@brandix.com:1</x:v>
      </x:c>
      <x:c r="AC16" s="30" t="str"/>
      <x:c r="AD16" s="30" t="str">
        <x:v>fabric elastic; tape; narrow woven</x:v>
      </x:c>
      <x:c r="AE16" s="30" t="str">
        <x:v>NARROW WOVEN FABRIC ELASTIC TAPE 7000 MTRS BEL 8588023</x:v>
      </x:c>
      <x:c r="AF16" s="30" t="str"/>
      <x:c r="AG16" s="30" t="str"/>
      <x:c r="AH16" s="30" t="str"/>
      <x:c r="AI16" s="30" t="str">
        <x:v>tape</x:v>
      </x:c>
      <x:c r="AJ16" s="30" t="str">
        <x:v>tape-buyers-fuzzy-search</x:v>
      </x:c>
      <x:c r="AK16" s="30" t="str">
        <x:v>UpKuajing customs company contact API</x:v>
      </x:c>
      <x:c r="AL16" s="30" t="str"/>
      <x:c r="AM16" s="30" t="str"/>
      <x:c r="AN16" s="34" t="n">
        <x:v>46220</x:v>
      </x:c>
    </x:row>
    <x:row r="17" ht="44" customHeight="1">
      <x:c r="A17" s="30" t="str">
        <x:v>API联系方式已获取</x:v>
      </x:c>
      <x:c r="B17" s="30" t="str">
        <x:v>常规-全球</x:v>
      </x:c>
      <x:c r="C17" s="30" t="str">
        <x:v>tape</x:v>
      </x:c>
      <x:c r="D17" s="31" t="str">
        <x:v>4421112</x:v>
      </x:c>
      <x:c r="E17" s="30" t="str">
        <x:v>công ty tnhh honest việt nam</x:v>
      </x:c>
      <x:c r="F17" s="30" t="str">
        <x:v>VN</x:v>
      </x:c>
      <x:c r="G17" s="30" t="str">
        <x:f>IF(V17&lt;&gt;"",V17,U17)</x:f>
        <x:v>hue.dt@honestcom.vn</x:v>
      </x:c>
      <x:c r="H17" s="30" t="str">
        <x:f>IF(V17&lt;&gt;"","官网已验证",IF(ISNUMBER(SEARCH(":1",AB17)),"API已验证","未验证"))</x:f>
        <x:v>未验证</x:v>
      </x:c>
      <x:c r="I17" s="30" t="str">
        <x:f>IF(X17&lt;&gt;"",X17,W17)</x:f>
      </x:c>
      <x:c r="J17" s="30" t="str"/>
      <x:c r="K17" s="35" t="n">
        <x:f>ROUND((IF(G17&lt;&gt;"",40,0)+IF(I17&lt;&gt;"",25,0)+IF(J17&lt;&gt;"",20,0)+IF(Z17&lt;&gt;"",15,0))/100,2)</x:f>
        <x:v>0.4</x:v>
      </x:c>
      <x:c r="L17" s="30" t="str">
        <x:v>待联系</x:v>
      </x:c>
      <x:c r="M17" s="30" t="str"/>
      <x:c r="N17" s="30" t="str">
        <x:v>khu công nghiệp nội bài, 8c x. quang tiến, h. sóc sơn,hà nội</x:v>
      </x:c>
      <x:c r="O17" s="30" t="str"/>
      <x:c r="P17" s="30" t="str">
        <x:v>granules of pig iron,record sleeves,wires,display,fire fighting truck,cu products,glues based on starches,air filter,coupler cable,hydraulic machine,cotters,wrench sockets,panel,plastic bag,steel parts,tyre,light emitting diodes,stoppers,gemalto,camera</x:v>
      </x:c>
      <x:c r="Q17" s="32" t="n">
        <x:v>3623</x:v>
      </x:c>
      <x:c r="R17" s="32" t="n">
        <x:v>37338</x:v>
      </x:c>
      <x:c r="S17" s="33" t="n">
        <x:v>0.09699999999999999</x:v>
      </x:c>
      <x:c r="T17" s="34" t="n">
        <x:v>46163.666666666664</x:v>
      </x:c>
      <x:c r="U17" s="30" t="str">
        <x:v>hue.dt@honestcom.vn</x:v>
      </x:c>
      <x:c r="V17" s="30" t="str"/>
      <x:c r="W17" s="30" t="str"/>
      <x:c r="X17" s="30" t="str"/>
      <x:c r="Y17" s="30" t="str"/>
      <x:c r="Z17" s="30" t="str"/>
      <x:c r="AA17" s="30" t="str"/>
      <x:c r="AB17" s="30" t="str">
        <x:v>hue.dt@honestcom.vn:0</x:v>
      </x:c>
      <x:c r="AC17" s="30" t="str"/>
      <x:c r="AD17" s="30" t="str">
        <x:v>camshaft; adhesive tape</x:v>
      </x:c>
      <x:c r="AE17" s="30" t="str">
        <x:v>PS-1#&amp;Trục bằng thép</x:v>
      </x:c>
      <x:c r="AF17" s="30" t="str"/>
      <x:c r="AG17" s="30" t="str"/>
      <x:c r="AH17" s="30" t="str"/>
      <x:c r="AI17" s="30" t="str">
        <x:v>tape</x:v>
      </x:c>
      <x:c r="AJ17" s="30" t="str">
        <x:v>tape-buyers-fuzzy-search</x:v>
      </x:c>
      <x:c r="AK17" s="30" t="str">
        <x:v>UpKuajing customs company contact API</x:v>
      </x:c>
      <x:c r="AL17" s="30" t="str"/>
      <x:c r="AM17" s="30" t="str"/>
      <x:c r="AN17" s="34" t="n">
        <x:v>46220</x:v>
      </x:c>
    </x:row>
    <x:row r="18" ht="44" customHeight="1">
      <x:c r="A18" s="30" t="str">
        <x:v>API联系方式已获取</x:v>
      </x:c>
      <x:c r="B18" s="30" t="str">
        <x:v>常规-全球</x:v>
      </x:c>
      <x:c r="C18" s="30" t="str">
        <x:v>tape</x:v>
      </x:c>
      <x:c r="D18" s="31" t="str">
        <x:v>369752</x:v>
      </x:c>
      <x:c r="E18" s="30" t="str">
        <x:v>genus electrotech ltd.</x:v>
      </x:c>
      <x:c r="F18" s="30" t="str">
        <x:v>IN</x:v>
      </x:c>
      <x:c r="G18" s="30" t="str">
        <x:f>IF(V18&lt;&gt;"",V18,U18)</x:f>
        <x:v>info@genuselectrotech.com; sales@divicon.com</x:v>
      </x:c>
      <x:c r="H18" s="30" t="str">
        <x:f>IF(V18&lt;&gt;"","官网已验证",IF(ISNUMBER(SEARCH(":1",AB18)),"API已验证","未验证"))</x:f>
        <x:v>API已验证</x:v>
      </x:c>
      <x:c r="I18" s="30" t="str">
        <x:f>IF(X18&lt;&gt;"",X18,W18)</x:f>
        <x:v>+91 2836 240 872; +91 99789 59714; +91 99789 59735</x:v>
      </x:c>
      <x:c r="J18" s="30" t="str">
        <x:v>www.genuselectrotech.co.in</x:v>
      </x:c>
      <x:c r="K18" s="35" t="n">
        <x:f>ROUND((IF(G18&lt;&gt;"",40,0)+IF(I18&lt;&gt;"",25,0)+IF(J18&lt;&gt;"",20,0)+IF(Z18&lt;&gt;"",15,0))/100,2)</x:f>
        <x:v>1</x:v>
      </x:c>
      <x:c r="L18" s="30" t="str">
        <x:v>待联系</x:v>
      </x:c>
      <x:c r="M18" s="30" t="str"/>
      <x:c r="N18" s="30" t="str">
        <x:v>survey no.43, galpadar road. kutch, 370110. india</x:v>
      </x:c>
      <x:c r="O18" s="30" t="str"/>
      <x:c r="P18" s="30" t="str">
        <x:v>three hole,taping machine,mmmm,5w power supply,instruction,pressure switch,housing pcb,format,h pin,ssd 256gb,70w street light,teflon,remo,wash machine,printing,insulated pad,machine,insula,locking sleeve,12w bulb</x:v>
      </x:c>
      <x:c r="Q18" s="32" t="n">
        <x:v>2538</x:v>
      </x:c>
      <x:c r="R18" s="32" t="n">
        <x:v>124084</x:v>
      </x:c>
      <x:c r="S18" s="33" t="n">
        <x:v>0.020499999999999997</x:v>
      </x:c>
      <x:c r="T18" s="34" t="n">
        <x:v>46068.666666666664</x:v>
      </x:c>
      <x:c r="U18" s="30" t="str">
        <x:v>info@genuselectrotech.com; sales@divicon.com</x:v>
      </x:c>
      <x:c r="V18" s="30" t="str"/>
      <x:c r="W18" s="30" t="str">
        <x:v>+91 2836 240 872; +91 99789 59714; +91 99789 59735</x:v>
      </x:c>
      <x:c r="X18" s="30" t="str"/>
      <x:c r="Y18" s="30" t="str">
        <x:v>+91 99789 59714; +91 99789 59735</x:v>
      </x:c>
      <x:c r="Z18" s="30" t="str">
        <x:v>https://www.facebook.com/genuselectrotech10; https://www.instagram.com/genuselectrotechlimited; https://www.linkedin.com/company/genuselectrotechltd</x:v>
      </x:c>
      <x:c r="AA18" s="30" t="str"/>
      <x:c r="AB18" s="30" t="str">
        <x:v>info@genuselectrotech.com:1; sales@divicon.com:0</x:v>
      </x:c>
      <x:c r="AC18" s="30" t="str"/>
      <x:c r="AD18" s="30" t="str">
        <x:v>fixture; ail; vhb tape</x:v>
      </x:c>
      <x:c r="AE18" s="30" t="str">
        <x:v>VHB TAPE PRESSURE HOLDING FIXTURE REST DETAILS AS PER INV &amp;PL VHB TAPE PRESSURE HOLDING FIXTURE REST DETAILS AS PER INV &amp;</x:v>
      </x:c>
      <x:c r="AF18" s="30" t="str"/>
      <x:c r="AG18" s="30" t="str"/>
      <x:c r="AH18" s="30" t="str"/>
      <x:c r="AI18" s="30" t="str">
        <x:v>tape</x:v>
      </x:c>
      <x:c r="AJ18" s="30" t="str">
        <x:v>tape-buyers-fuzzy-search</x:v>
      </x:c>
      <x:c r="AK18" s="30" t="str">
        <x:v>UpKuajing customs company contact API</x:v>
      </x:c>
      <x:c r="AL18" s="30" t="str"/>
      <x:c r="AM18" s="30" t="str"/>
      <x:c r="AN18" s="34" t="n">
        <x:v>46220</x:v>
      </x:c>
    </x:row>
    <x:row r="19" ht="44" customHeight="1">
      <x:c r="A19" s="30" t="str">
        <x:v>API联系方式已获取</x:v>
      </x:c>
      <x:c r="B19" s="30" t="str">
        <x:v>常规-全球</x:v>
      </x:c>
      <x:c r="C19" s="30" t="str">
        <x:v>tape</x:v>
      </x:c>
      <x:c r="D19" s="31" t="str">
        <x:v>67944548</x:v>
      </x:c>
      <x:c r="E19" s="30" t="str">
        <x:v>oriental commerce co.ltd.</x:v>
      </x:c>
      <x:c r="F19" s="30" t="str">
        <x:v>KR</x:v>
      </x:c>
      <x:c r="G19" s="30" t="str">
        <x:f>IF(V19&lt;&gt;"",V19,U19)</x:f>
        <x:v>sim291@hanmail.net</x:v>
      </x:c>
      <x:c r="H19" s="30" t="str">
        <x:f>IF(V19&lt;&gt;"","官网已验证",IF(ISNUMBER(SEARCH(":1",AB19)),"API已验证","未验证"))</x:f>
        <x:v>未验证</x:v>
      </x:c>
      <x:c r="I19" s="30" t="str">
        <x:f>IF(X19&lt;&gt;"",X19,W19)</x:f>
        <x:v>+82 51-266-7110</x:v>
      </x:c>
      <x:c r="J19" s="30" t="str"/>
      <x:c r="K19" s="35" t="n">
        <x:f>ROUND((IF(G19&lt;&gt;"",40,0)+IF(I19&lt;&gt;"",25,0)+IF(J19&lt;&gt;"",20,0)+IF(Z19&lt;&gt;"",15,0))/100,2)</x:f>
        <x:v>0.65</x:v>
      </x:c>
      <x:c r="L19" s="30" t="str">
        <x:v>待联系</x:v>
      </x:c>
      <x:c r="M19" s="30" t="str"/>
      <x:c r="N19" s="30" t="str">
        <x:v>316-9 janglim-dong,, saha-gu,busan</x:v>
      </x:c>
      <x:c r="O19" s="30" t="str"/>
      <x:c r="P19" s="30" t="str">
        <x:v>ticl,ceo,yan,other textile,products</x:v>
      </x:c>
      <x:c r="Q19" s="32" t="n">
        <x:v>2442</x:v>
      </x:c>
      <x:c r="R19" s="32" t="n">
        <x:v>27697</x:v>
      </x:c>
      <x:c r="S19" s="33" t="n">
        <x:v>0.0882</x:v>
      </x:c>
      <x:c r="T19" s="34" t="n">
        <x:v>46171.666666666664</x:v>
      </x:c>
      <x:c r="U19" s="30" t="str">
        <x:v>sim291@hanmail.net</x:v>
      </x:c>
      <x:c r="V19" s="30" t="str"/>
      <x:c r="W19" s="30" t="str">
        <x:v>+82 51-266-7110</x:v>
      </x:c>
      <x:c r="X19" s="30" t="str"/>
      <x:c r="Y19" s="30" t="str"/>
      <x:c r="Z19" s="30" t="str"/>
      <x:c r="AA19" s="30" t="str"/>
      <x:c r="AB19" s="30" t="str">
        <x:v>sim291@hanmail.net:0</x:v>
      </x:c>
      <x:c r="AC19" s="30" t="str"/>
      <x:c r="AD19" s="30" t="str">
        <x:v>textile insulation tape</x:v>
      </x:c>
      <x:c r="AE19" s="30" t="str">
        <x:v>CLT-26-2037#&amp;Vải dệt đã cao su hóa 200MIC X 50MM X 25M #&amp;VN</x:v>
      </x:c>
      <x:c r="AF19" s="30" t="str"/>
      <x:c r="AG19" s="30" t="str"/>
      <x:c r="AH19" s="30" t="str"/>
      <x:c r="AI19" s="30" t="str">
        <x:v>tape</x:v>
      </x:c>
      <x:c r="AJ19" s="30" t="str">
        <x:v>tape-buyers-fuzzy-search</x:v>
      </x:c>
      <x:c r="AK19" s="30" t="str">
        <x:v>UpKuajing customs company contact API</x:v>
      </x:c>
      <x:c r="AL19" s="30" t="str"/>
      <x:c r="AM19" s="30" t="str"/>
      <x:c r="AN19" s="34" t="n">
        <x:v>46220</x:v>
      </x:c>
    </x:row>
    <x:row r="20" ht="44" customHeight="1">
      <x:c r="A20" s="30" t="str">
        <x:v>API联系方式已获取</x:v>
      </x:c>
      <x:c r="B20" s="30" t="str">
        <x:v>常规-全球</x:v>
      </x:c>
      <x:c r="C20" s="30" t="str">
        <x:v>tape</x:v>
      </x:c>
      <x:c r="D20" s="31" t="str">
        <x:v>1005206</x:v>
      </x:c>
      <x:c r="E20" s="30" t="str">
        <x:v>jworld co.ltd.</x:v>
      </x:c>
      <x:c r="F20" s="30" t="str">
        <x:v>KR</x:v>
      </x:c>
      <x:c r="G20" s="30" t="str">
        <x:f>IF(V20&lt;&gt;"",V20,U20)</x:f>
        <x:v>jworld@jworld21.com</x:v>
      </x:c>
      <x:c r="H20" s="30" t="str">
        <x:f>IF(V20&lt;&gt;"","官网已验证",IF(ISNUMBER(SEARCH(":1",AB20)),"API已验证","未验证"))</x:f>
        <x:v>API已验证</x:v>
      </x:c>
      <x:c r="I20" s="30" t="str">
        <x:f>IF(X20&lt;&gt;"",X20,W20)</x:f>
        <x:v>+82 31-456-8001</x:v>
      </x:c>
      <x:c r="J20" s="30" t="str"/>
      <x:c r="K20" s="35" t="n">
        <x:f>ROUND((IF(G20&lt;&gt;"",40,0)+IF(I20&lt;&gt;"",25,0)+IF(J20&lt;&gt;"",20,0)+IF(Z20&lt;&gt;"",15,0))/100,2)</x:f>
        <x:v>0.65</x:v>
      </x:c>
      <x:c r="L20" s="30" t="str">
        <x:v>待联系</x:v>
      </x:c>
      <x:c r="M20" s="30" t="str"/>
      <x:c r="N20" s="30" t="str">
        <x:v>suite 905, 16-1, hansol-technotown, dangjeong-dong, gunpo si, 435-831, gyeonggi-do, korea</x:v>
      </x:c>
      <x:c r="O20" s="30" t="str"/>
      <x:c r="P20" s="30" t="str">
        <x:v>plastic core-rubber-tires,rubber product,printing ink,vitriol,textile fabrics,deco film,aluminum paper,tester,butyl,plastic,gearing,electrical machinery,semi-colloidal graphite,plastics,stamping punching,plastic polyester resin,coil,acrylic resin,web,printer</x:v>
      </x:c>
      <x:c r="Q20" s="32" t="n">
        <x:v>2311</x:v>
      </x:c>
      <x:c r="R20" s="32" t="n">
        <x:v>13162</x:v>
      </x:c>
      <x:c r="S20" s="33" t="n">
        <x:v>0.17559999999999998</x:v>
      </x:c>
      <x:c r="T20" s="34" t="n">
        <x:v>46080.666666666664</x:v>
      </x:c>
      <x:c r="U20" s="30" t="str">
        <x:v>jworld@jworld21.com</x:v>
      </x:c>
      <x:c r="V20" s="30" t="str"/>
      <x:c r="W20" s="30" t="str">
        <x:v>+82 31-456-8001</x:v>
      </x:c>
      <x:c r="X20" s="30" t="str"/>
      <x:c r="Y20" s="30" t="str"/>
      <x:c r="Z20" s="30" t="str"/>
      <x:c r="AA20" s="30" t="str"/>
      <x:c r="AB20" s="30" t="str">
        <x:v>jworld@jworld21.com:1</x:v>
      </x:c>
      <x:c r="AC20" s="30" t="str"/>
      <x:c r="AD20" s="30" t="str">
        <x:v>deco film</x:v>
      </x:c>
      <x:c r="AE20" s="30" t="str">
        <x:v>RNDT09754#&amp;Băng dính dùng cho điện thoại di động TAPE WP SUB UB 3SIDE VH301_0219 kích thước 78.73*71.37 mm*mm#&amp;VN</x:v>
      </x:c>
      <x:c r="AF20" s="30" t="str"/>
      <x:c r="AG20" s="30" t="str"/>
      <x:c r="AH20" s="30" t="str"/>
      <x:c r="AI20" s="30" t="str">
        <x:v>tape</x:v>
      </x:c>
      <x:c r="AJ20" s="30" t="str">
        <x:v>tape-buyers-fuzzy-search</x:v>
      </x:c>
      <x:c r="AK20" s="30" t="str">
        <x:v>UpKuajing customs company contact API</x:v>
      </x:c>
      <x:c r="AL20" s="30" t="str"/>
      <x:c r="AM20" s="30" t="str"/>
      <x:c r="AN20" s="34" t="n">
        <x:v>46220</x:v>
      </x:c>
    </x:row>
    <x:row r="21" ht="44" customHeight="1">
      <x:c r="A21" s="30" t="str">
        <x:v>API联系方式已获取</x:v>
      </x:c>
      <x:c r="B21" s="30" t="str">
        <x:v>常规-全球</x:v>
      </x:c>
      <x:c r="C21" s="30" t="str">
        <x:v>tape</x:v>
      </x:c>
      <x:c r="D21" s="31" t="str">
        <x:v>28403</x:v>
      </x:c>
      <x:c r="E21" s="30" t="str">
        <x:v>suzuki motor de mexico s a</x:v>
      </x:c>
      <x:c r="F21" s="30" t="str">
        <x:v>MX</x:v>
      </x:c>
      <x:c r="G21" s="30" t="str">
        <x:f>IF(V21&lt;&gt;"",V21,U21)</x:f>
        <x:v>privacidad@suzuki.com.mx</x:v>
      </x:c>
      <x:c r="H21" s="30" t="str">
        <x:f>IF(V21&lt;&gt;"","官网已验证",IF(ISNUMBER(SEARCH(":1",AB21)),"API已验证","未验证"))</x:f>
        <x:v>未验证</x:v>
      </x:c>
      <x:c r="I21" s="30" t="str">
        <x:f>IF(X21&lt;&gt;"",X21,W21)</x:f>
        <x:v>+52 55 5365 2626</x:v>
      </x:c>
      <x:c r="J21" s="30" t="str">
        <x:v>http://www.suzuki.com.mx/</x:v>
      </x:c>
      <x:c r="K21" s="35" t="n">
        <x:f>ROUND((IF(G21&lt;&gt;"",40,0)+IF(I21&lt;&gt;"",25,0)+IF(J21&lt;&gt;"",20,0)+IF(Z21&lt;&gt;"",15,0))/100,2)</x:f>
        <x:v>0.85</x:v>
      </x:c>
      <x:c r="L21" s="30" t="str">
        <x:v>待联系</x:v>
      </x:c>
      <x:c r="M21" s="30" t="str"/>
      <x:c r="N21" s="30" t="str">
        <x:v>privada de la barranca s/n lote 23 cuautitlán, estado de méxico 54763 méxico</x:v>
      </x:c>
      <x:c r="O21" s="30" t="str"/>
      <x:c r="P21" s="30" t="str">
        <x:v>arm,latch,relay box,pinion,manifold,rear view,rear hub,x7,rain,spring pad,cyl head,sas,fork,nks,anten,seat rear,alum,knob,erco,signal</x:v>
      </x:c>
      <x:c r="Q21" s="32" t="n">
        <x:v>2061</x:v>
      </x:c>
      <x:c r="R21" s="32" t="n">
        <x:v>650623</x:v>
      </x:c>
      <x:c r="S21" s="33" t="n">
        <x:v>0.0032</x:v>
      </x:c>
      <x:c r="T21" s="34" t="n">
        <x:v>46166.666666666664</x:v>
      </x:c>
      <x:c r="U21" s="30" t="str">
        <x:v>privacidad@suzuki.com.mx</x:v>
      </x:c>
      <x:c r="V21" s="30" t="str"/>
      <x:c r="W21" s="30" t="str">
        <x:v>+52 55 5365 2626</x:v>
      </x:c>
      <x:c r="X21" s="30" t="str"/>
      <x:c r="Y21" s="30" t="str"/>
      <x:c r="Z21" s="30" t="str"/>
      <x:c r="AA21" s="30" t="str"/>
      <x:c r="AB21" s="30" t="str">
        <x:v>privacidad@suzuki.com.mx:0</x:v>
      </x:c>
      <x:c r="AC21" s="30" t="str"/>
      <x:c r="AD21" s="30" t="str">
        <x:v>green tape; yellow ribbon</x:v>
      </x:c>
      <x:c r="AE21" s="30" t="str">
        <x:v>CINTA COD 83926 54P10 0CE</x:v>
      </x:c>
      <x:c r="AF21" s="30" t="str"/>
      <x:c r="AG21" s="30" t="str"/>
      <x:c r="AH21" s="30" t="str"/>
      <x:c r="AI21" s="30" t="str">
        <x:v>tape</x:v>
      </x:c>
      <x:c r="AJ21" s="30" t="str">
        <x:v>tape-buyers-fuzzy-search</x:v>
      </x:c>
      <x:c r="AK21" s="30" t="str">
        <x:v>UpKuajing customs company contact API</x:v>
      </x:c>
      <x:c r="AL21" s="30" t="str"/>
      <x:c r="AM21" s="30" t="str"/>
      <x:c r="AN21" s="34" t="n">
        <x:v>46220</x:v>
      </x:c>
    </x:row>
    <x:row r="22" ht="44" customHeight="1">
      <x:c r="A22" s="30" t="str">
        <x:v>API联系方式已获取</x:v>
      </x:c>
      <x:c r="B22" s="30" t="str">
        <x:v>常规-全球</x:v>
      </x:c>
      <x:c r="C22" s="30" t="str">
        <x:v>tape</x:v>
      </x:c>
      <x:c r="D22" s="31" t="str">
        <x:v>368379</x:v>
      </x:c>
      <x:c r="E22" s="30" t="str">
        <x:v>haier appliances india pvt.ltd.</x:v>
      </x:c>
      <x:c r="F22" s="30" t="str">
        <x:v>IN</x:v>
      </x:c>
      <x:c r="G22" s="30" t="str">
        <x:f>IF(V22&lt;&gt;"",V22,U22)</x:f>
        <x:v>info@haierindia.com</x:v>
      </x:c>
      <x:c r="H22" s="30" t="str">
        <x:f>IF(V22&lt;&gt;"","官网已验证",IF(ISNUMBER(SEARCH(":1",AB22)),"API已验证","未验证"))</x:f>
        <x:v>未验证</x:v>
      </x:c>
      <x:c r="I22" s="30" t="str">
        <x:f>IF(X22&lt;&gt;"",X22,W22)</x:f>
      </x:c>
      <x:c r="J22" s="30" t="str">
        <x:v>www.haier.com</x:v>
      </x:c>
      <x:c r="K22" s="35" t="n">
        <x:f>ROUND((IF(G22&lt;&gt;"",40,0)+IF(I22&lt;&gt;"",25,0)+IF(J22&lt;&gt;"",20,0)+IF(Z22&lt;&gt;"",15,0))/100,2)</x:f>
        <x:v>0.6</x:v>
      </x:c>
      <x:c r="L22" s="30" t="str">
        <x:v>待联系</x:v>
      </x:c>
      <x:c r="M22" s="30" t="str"/>
      <x:c r="N22" s="30" t="str">
        <x:v>b-1/a-14, mohan co-operative industrial estate, mathura road, new delhi-110044</x:v>
      </x:c>
      <x:c r="O22" s="30" t="str"/>
      <x:c r="P22" s="30" t="str">
        <x:v>cam part,gum,rys,connect parts,partition board,harness,opal,demo kit,t series,kick,brown carton,side board,pin mould,alfa,dry reed,damping spring,shock,deep gray,front cover,t seal</x:v>
      </x:c>
      <x:c r="Q22" s="32" t="n">
        <x:v>1941</x:v>
      </x:c>
      <x:c r="R22" s="32" t="n">
        <x:v>308789</x:v>
      </x:c>
      <x:c r="S22" s="33" t="n">
        <x:v>0.0063</x:v>
      </x:c>
      <x:c r="T22" s="34" t="n">
        <x:v>45655.666666666664</x:v>
      </x:c>
      <x:c r="U22" s="30" t="str">
        <x:v>info@haierindia.com</x:v>
      </x:c>
      <x:c r="V22" s="30" t="str"/>
      <x:c r="W22" s="30" t="str"/>
      <x:c r="X22" s="30" t="str"/>
      <x:c r="Y22" s="30" t="str"/>
      <x:c r="Z22" s="30" t="str"/>
      <x:c r="AA22" s="30" t="str"/>
      <x:c r="AB22" s="30" t="str">
        <x:v>info@haierindia.com:0</x:v>
      </x:c>
      <x:c r="AC22" s="30" t="str"/>
      <x:c r="AD22" s="30" t="str">
        <x:v>packing tap; t code; e 80; x7; model; assembly component</x:v>
      </x:c>
      <x:c r="AE22" s="30" t="str">
        <x:v>PACKING TAPE 800MX72X0.045MM 50P7GT-P PART CODE: 0090303389MODEL NO 50P7GT-P (ASSEMBLY COMPONENT)PACKING TAPE 800MX72X0.045MM 50P7GT-P PART CODE: 0090303389</x:v>
      </x:c>
      <x:c r="AF22" s="30" t="str"/>
      <x:c r="AG22" s="30" t="str"/>
      <x:c r="AH22" s="30" t="str"/>
      <x:c r="AI22" s="30" t="str">
        <x:v>tape</x:v>
      </x:c>
      <x:c r="AJ22" s="30" t="str">
        <x:v>tape-buyers-fuzzy-search</x:v>
      </x:c>
      <x:c r="AK22" s="30" t="str">
        <x:v>UpKuajing customs company contact API</x:v>
      </x:c>
      <x:c r="AL22" s="30" t="str"/>
      <x:c r="AM22" s="30" t="str"/>
      <x:c r="AN22" s="34" t="n">
        <x:v>46220</x:v>
      </x:c>
    </x:row>
    <x:row r="23" ht="44" customHeight="1">
      <x:c r="A23" s="30" t="str">
        <x:v>API联系方式已获取</x:v>
      </x:c>
      <x:c r="B23" s="30" t="str">
        <x:v>常规-全球</x:v>
      </x:c>
      <x:c r="C23" s="30" t="str">
        <x:v>tape</x:v>
      </x:c>
      <x:c r="D23" s="31" t="str">
        <x:v>22316517</x:v>
      </x:c>
      <x:c r="E23" s="30" t="str">
        <x:v>TRIUMPH INTERNATIONAL (INDIA) PRIVATE LIMITED</x:v>
      </x:c>
      <x:c r="F23" s="30" t="str">
        <x:v>IN</x:v>
      </x:c>
      <x:c r="G23" s="30" t="str">
        <x:f>IF(V23&lt;&gt;"",V23,U23)</x:f>
        <x:v>murugan.selvaraj@triumph.com</x:v>
      </x:c>
      <x:c r="H23" s="30" t="str">
        <x:f>IF(V23&lt;&gt;"","官网已验证",IF(ISNUMBER(SEARCH(":1",AB23)),"API已验证","未验证"))</x:f>
        <x:v>API已验证</x:v>
      </x:c>
      <x:c r="I23" s="30" t="str">
        <x:f>IF(X23&lt;&gt;"",X23,W23)</x:f>
      </x:c>
      <x:c r="J23" s="30" t="str">
        <x:v>www.triumph.com</x:v>
      </x:c>
      <x:c r="K23" s="35" t="n">
        <x:f>ROUND((IF(G23&lt;&gt;"",40,0)+IF(I23&lt;&gt;"",25,0)+IF(J23&lt;&gt;"",20,0)+IF(Z23&lt;&gt;"",15,0))/100,2)</x:f>
        <x:v>0.6</x:v>
      </x:c>
      <x:c r="L23" s="30" t="str">
        <x:v>待联系</x:v>
      </x:c>
      <x:c r="M23" s="30" t="str"/>
      <x:c r="N23" s="30" t="str">
        <x:v>240B, SENGUNDRAM VILLAGE SINGAPERUMAL KOIL</x:v>
      </x:c>
      <x:c r="O23" s="30" t="str"/>
      <x:c r="P23" s="30" t="str">
        <x:v>Women's lingerie, as well as clothing products for in-house and leisure purposes</x:v>
      </x:c>
      <x:c r="Q23" s="32" t="n">
        <x:v>1878</x:v>
      </x:c>
      <x:c r="R23" s="32" t="n">
        <x:v>42532</x:v>
      </x:c>
      <x:c r="S23" s="33" t="n">
        <x:v>0.044199999999999996</x:v>
      </x:c>
      <x:c r="T23" s="34" t="n">
        <x:v>45865.666666666664</x:v>
      </x:c>
      <x:c r="U23" s="30" t="str">
        <x:v>murugan.selvaraj@triumph.com</x:v>
      </x:c>
      <x:c r="V23" s="30" t="str"/>
      <x:c r="W23" s="30" t="str"/>
      <x:c r="X23" s="30" t="str"/>
      <x:c r="Y23" s="30" t="str"/>
      <x:c r="Z23" s="30" t="str"/>
      <x:c r="AA23" s="30" t="str"/>
      <x:c r="AB23" s="30" t="str">
        <x:v>murugan.selvaraj@triumph.com:1</x:v>
      </x:c>
      <x:c r="AC23" s="30" t="str"/>
      <x:c r="AD23" s="30" t="str"/>
      <x:c r="AE23" s="30" t="str">
        <x:v>ITEM 3329/22 COLOR OP3701-ELASTIC TAPE ITEM 3329/22 COLOR OP3701</x:v>
      </x:c>
      <x:c r="AF23" s="30" t="str"/>
      <x:c r="AG23" s="30" t="str"/>
      <x:c r="AH23" s="30" t="str"/>
      <x:c r="AI23" s="30" t="str">
        <x:v>tape</x:v>
      </x:c>
      <x:c r="AJ23" s="30" t="str">
        <x:v>tape-buyers-fuzzy-search</x:v>
      </x:c>
      <x:c r="AK23" s="30" t="str">
        <x:v>UpKuajing customs company contact API</x:v>
      </x:c>
      <x:c r="AL23" s="30" t="str"/>
      <x:c r="AM23" s="30" t="str"/>
      <x:c r="AN23" s="34" t="n">
        <x:v>46220</x:v>
      </x:c>
    </x:row>
    <x:row r="24" ht="44" customHeight="1">
      <x:c r="A24" s="30" t="str">
        <x:v>API联系方式已获取</x:v>
      </x:c>
      <x:c r="B24" s="30" t="str">
        <x:v>常规-全球</x:v>
      </x:c>
      <x:c r="C24" s="30" t="str">
        <x:v>tape</x:v>
      </x:c>
      <x:c r="D24" s="31" t="str">
        <x:v>20410195</x:v>
      </x:c>
      <x:c r="E24" s="30" t="str">
        <x:v>ASTI ELECTRONICS CORPORATION</x:v>
      </x:c>
      <x:c r="F24" s="30" t="str">
        <x:v>VN</x:v>
      </x:c>
      <x:c r="G24" s="30" t="str">
        <x:f>IF(V24&lt;&gt;"",V24,U24)</x:f>
        <x:v>admin@asti.com.vn; info@asti.com</x:v>
      </x:c>
      <x:c r="H24" s="30" t="str">
        <x:f>IF(V24&lt;&gt;"","官网已验证",IF(ISNUMBER(SEARCH(":1",AB24)),"API已验证","未验证"))</x:f>
        <x:v>API已验证</x:v>
      </x:c>
      <x:c r="I24" s="30" t="str">
        <x:f>IF(X24&lt;&gt;"",X24,W24)</x:f>
        <x:v>+84 274 2742 464; +84 274 3742 464; +84 274 3742 594; 84274742464</x:v>
      </x:c>
      <x:c r="J24" s="30" t="str">
        <x:v>www.asti.com.vn</x:v>
      </x:c>
      <x:c r="K24" s="35" t="n">
        <x:f>ROUND((IF(G24&lt;&gt;"",40,0)+IF(I24&lt;&gt;"",25,0)+IF(J24&lt;&gt;"",20,0)+IF(Z24&lt;&gt;"",15,0))/100,2)</x:f>
        <x:v>0.85</x:v>
      </x:c>
      <x:c r="L24" s="30" t="str">
        <x:v>待联系</x:v>
      </x:c>
      <x:c r="M24" s="30" t="str"/>
      <x:c r="N24" s="30" t="str">
        <x:v>DONG AN QUARTER , TAN DONG HIEP WARD , DI AN DIST</x:v>
      </x:c>
      <x:c r="O24" s="30" t="str"/>
      <x:c r="P24" s="30" t="str"/>
      <x:c r="Q24" s="32" t="n">
        <x:v>1828</x:v>
      </x:c>
      <x:c r="R24" s="32" t="n">
        <x:v>131760</x:v>
      </x:c>
      <x:c r="S24" s="33" t="n">
        <x:v>0.0139</x:v>
      </x:c>
      <x:c r="T24" s="34" t="n">
        <x:v>46103.666666666664</x:v>
      </x:c>
      <x:c r="U24" s="30" t="str">
        <x:v>admin@asti.com.vn; info@asti.com</x:v>
      </x:c>
      <x:c r="V24" s="30" t="str"/>
      <x:c r="W24" s="30" t="str">
        <x:v>+84 274 2742 464; +84 274 3742 464; +84 274 3742 594; 84274742464</x:v>
      </x:c>
      <x:c r="X24" s="30" t="str"/>
      <x:c r="Y24" s="30" t="str"/>
      <x:c r="Z24" s="30" t="str"/>
      <x:c r="AA24" s="30" t="str"/>
      <x:c r="AB24" s="30" t="str">
        <x:v>admin@asti.com.vn:1; info@asti.com:1</x:v>
      </x:c>
      <x:c r="AC24" s="30" t="str"/>
      <x:c r="AD24" s="30" t="str"/>
      <x:c r="AE24" s="30" t="str">
        <x:v>A003BK#&amp;amp;Tape glue for cluster conductor electric motorcycle (Tape) 0.1X19X25:BLACK, 100% brand new</x:v>
      </x:c>
      <x:c r="AF24" s="30" t="str"/>
      <x:c r="AG24" s="30" t="str"/>
      <x:c r="AH24" s="30" t="str"/>
      <x:c r="AI24" s="30" t="str">
        <x:v>tape</x:v>
      </x:c>
      <x:c r="AJ24" s="30" t="str">
        <x:v>tape-buyers-fuzzy-search</x:v>
      </x:c>
      <x:c r="AK24" s="30" t="str">
        <x:v>UpKuajing customs company contact API</x:v>
      </x:c>
      <x:c r="AL24" s="30" t="str"/>
      <x:c r="AM24" s="30" t="str"/>
      <x:c r="AN24" s="34" t="n">
        <x:v>46220</x:v>
      </x:c>
    </x:row>
    <x:row r="25" ht="44" customHeight="1">
      <x:c r="A25" s="30" t="str">
        <x:v>API联系方式已获取</x:v>
      </x:c>
      <x:c r="B25" s="30" t="str">
        <x:v>常规-全球</x:v>
      </x:c>
      <x:c r="C25" s="30" t="str">
        <x:v>tape</x:v>
      </x:c>
      <x:c r="D25" s="31" t="str">
        <x:v>8206989</x:v>
      </x:c>
      <x:c r="E25" s="30" t="str">
        <x:v>triumph international india</x:v>
      </x:c>
      <x:c r="F25" s="30" t="str">
        <x:v>IN</x:v>
      </x:c>
      <x:c r="G25" s="30" t="str">
        <x:f>IF(V25&lt;&gt;"",V25,U25)</x:f>
        <x:v>info.india@triumph.com</x:v>
      </x:c>
      <x:c r="H25" s="30" t="str">
        <x:f>IF(V25&lt;&gt;"","官网已验证",IF(ISNUMBER(SEARCH(":1",AB25)),"API已验证","未验证"))</x:f>
        <x:v>API已验证</x:v>
      </x:c>
      <x:c r="I25" s="30" t="str">
        <x:f>IF(X25&lt;&gt;"",X25,W25)</x:f>
        <x:v>+91 44 2842 0743</x:v>
      </x:c>
      <x:c r="J25" s="30" t="str">
        <x:v>http://www.triumph.com</x:v>
      </x:c>
      <x:c r="K25" s="35" t="n">
        <x:f>ROUND((IF(G25&lt;&gt;"",40,0)+IF(I25&lt;&gt;"",25,0)+IF(J25&lt;&gt;"",20,0)+IF(Z25&lt;&gt;"",15,0))/100,2)</x:f>
        <x:v>0.85</x:v>
      </x:c>
      <x:c r="L25" s="30" t="str">
        <x:v>待联系</x:v>
      </x:c>
      <x:c r="M25" s="30" t="str"/>
      <x:c r="N25" s="30" t="str">
        <x:v>no 244 anna salai em n em building chennai tamil nadu</x:v>
      </x:c>
      <x:c r="O25" s="30" t="str"/>
      <x:c r="P25" s="30" t="str">
        <x:v>1 8m,lye,ice,wheel,8k,metal slide,wired bra,white po,micromesh,keyboard,simplex,iu,s20,cod,5d,c printed fabric,ribbon item,spb,laminated foam,board</x:v>
      </x:c>
      <x:c r="Q25" s="32" t="n">
        <x:v>1677</x:v>
      </x:c>
      <x:c r="R25" s="32" t="n">
        <x:v>51044</x:v>
      </x:c>
      <x:c r="S25" s="33" t="n">
        <x:v>0.0329</x:v>
      </x:c>
      <x:c r="T25" s="34" t="n">
        <x:v>46058.666666666664</x:v>
      </x:c>
      <x:c r="U25" s="30" t="str">
        <x:v>info.india@triumph.com</x:v>
      </x:c>
      <x:c r="V25" s="30" t="str"/>
      <x:c r="W25" s="30" t="str">
        <x:v>+91 44 2842 0743</x:v>
      </x:c>
      <x:c r="X25" s="30" t="str"/>
      <x:c r="Y25" s="30" t="str"/>
      <x:c r="Z25" s="30" t="str"/>
      <x:c r="AA25" s="30" t="str"/>
      <x:c r="AB25" s="30" t="str">
        <x:v>info.india@triumph.com:1</x:v>
      </x:c>
      <x:c r="AC25" s="30" t="str"/>
      <x:c r="AD25" s="30" t="str">
        <x:v>eye tape; pearl</x:v>
      </x:c>
      <x:c r="AE25" s="30" t="str">
        <x:v>PRECUT EYE TAPE 000 S0182S 38MM A PEARL GR 38198 PO 4512863360 12863362PRECUT EYE TAPE</x:v>
      </x:c>
      <x:c r="AF25" s="30" t="str"/>
      <x:c r="AG25" s="30" t="str"/>
      <x:c r="AH25" s="30" t="str"/>
      <x:c r="AI25" s="30" t="str">
        <x:v>tape</x:v>
      </x:c>
      <x:c r="AJ25" s="30" t="str">
        <x:v>tape-buyers-fuzzy-search</x:v>
      </x:c>
      <x:c r="AK25" s="30" t="str">
        <x:v>UpKuajing customs company contact API</x:v>
      </x:c>
      <x:c r="AL25" s="30" t="str"/>
      <x:c r="AM25" s="30" t="str"/>
      <x:c r="AN25" s="34" t="n">
        <x:v>46220</x:v>
      </x:c>
    </x:row>
    <x:row r="26" ht="44" customHeight="1">
      <x:c r="A26" s="30" t="str">
        <x:v>API联系方式已获取</x:v>
      </x:c>
      <x:c r="B26" s="30" t="str">
        <x:v>常规-全球</x:v>
      </x:c>
      <x:c r="C26" s="30" t="str">
        <x:v>tape</x:v>
      </x:c>
      <x:c r="D26" s="31" t="str">
        <x:v>78071611</x:v>
      </x:c>
      <x:c r="E26" s="30" t="str">
        <x:v>INNO FLEX</x:v>
      </x:c>
      <x:c r="F26" s="30" t="str">
        <x:v>KR</x:v>
      </x:c>
      <x:c r="G26" s="30" t="str">
        <x:f>IF(V26&lt;&gt;"",V26,U26)</x:f>
        <x:v>cosmotech@korea.com</x:v>
      </x:c>
      <x:c r="H26" s="30" t="str">
        <x:f>IF(V26&lt;&gt;"","官网已验证",IF(ISNUMBER(SEARCH(":1",AB26)),"API已验证","未验证"))</x:f>
        <x:v>未验证</x:v>
      </x:c>
      <x:c r="I26" s="30" t="str">
        <x:f>IF(X26&lt;&gt;"",X26,W26)</x:f>
        <x:v>+82 32-817-6552</x:v>
      </x:c>
      <x:c r="J26" s="30" t="str"/>
      <x:c r="K26" s="35" t="n">
        <x:f>ROUND((IF(G26&lt;&gt;"",40,0)+IF(I26&lt;&gt;"",25,0)+IF(J26&lt;&gt;"",20,0)+IF(Z26&lt;&gt;"",15,0))/100,2)</x:f>
        <x:v>0.65</x:v>
      </x:c>
      <x:c r="L26" s="30" t="str">
        <x:v>待联系</x:v>
      </x:c>
      <x:c r="M26" s="30" t="str"/>
      <x:c r="N26" s="30" t="str">
        <x:v>702-10, gojan-dong, namdong-gu, incheon, 405-818 korea</x:v>
      </x:c>
      <x:c r="O26" s="30" t="str"/>
      <x:c r="P26" s="30" t="str">
        <x:v>plated circuit,deco film,printed circuits,electronic intergrated circuits,industrial steel material,loudspeaker,pressing punching,stamping punching,sticker,plastic product,plastics,connector</x:v>
      </x:c>
      <x:c r="Q26" s="32" t="n">
        <x:v>1517</x:v>
      </x:c>
      <x:c r="R26" s="32" t="n">
        <x:v>7993</x:v>
      </x:c>
      <x:c r="S26" s="33" t="n">
        <x:v>0.1898</x:v>
      </x:c>
      <x:c r="T26" s="34" t="n">
        <x:v>45894.666666666664</x:v>
      </x:c>
      <x:c r="U26" s="30" t="str">
        <x:v>cosmotech@korea.com</x:v>
      </x:c>
      <x:c r="V26" s="30" t="str"/>
      <x:c r="W26" s="30" t="str">
        <x:v>+82 32-817-6552</x:v>
      </x:c>
      <x:c r="X26" s="30" t="str"/>
      <x:c r="Y26" s="30" t="str"/>
      <x:c r="Z26" s="30" t="str"/>
      <x:c r="AA26" s="30" t="str"/>
      <x:c r="AB26" s="30" t="str">
        <x:v>cosmotech@korea.com:0</x:v>
      </x:c>
      <x:c r="AC26" s="30" t="str">
        <x:v>TAPE-1 P1 DUO</x:v>
      </x:c>
      <x:c r="AD26" s="30" t="str">
        <x:v>tape; plastic; self - adhesive; recycled</x:v>
      </x:c>
      <x:c r="AE26" s="30" t="str">
        <x:v>TAPE-1 P1 DUO#&amp;Miếng plastic tự dán TAPE-1 P1 DUO (TOP TAPE TESA61885), kt 120.08*12.50mm, hàng mới 100% tái xuất mục 44 TK 107230146220#&amp;KR</x:v>
      </x:c>
      <x:c r="AF26" s="30" t="str">
        <x:v>Adhesive tape; Self - sticking tape; Plastic tape; Duo tape; TESA tape</x:v>
      </x:c>
      <x:c r="AG26" s="30" t="str">
        <x:v>Plastic resin; Adhesive; Polymer; Additives; Recycled plastic</x:v>
      </x:c>
      <x:c r="AH26" s="30" t="str">
        <x:v>Packaging; Labeling; Crafts; Electronics assembly; Office use</x:v>
      </x:c>
      <x:c r="AI26" s="30" t="str">
        <x:v>tape</x:v>
      </x:c>
      <x:c r="AJ26" s="30" t="str">
        <x:v>tape-buyers-fuzzy-search</x:v>
      </x:c>
      <x:c r="AK26" s="30" t="str">
        <x:v>UpKuajing customs company contact API</x:v>
      </x:c>
      <x:c r="AL26" s="30" t="str"/>
      <x:c r="AM26" s="30" t="str"/>
      <x:c r="AN26" s="34" t="n">
        <x:v>46220</x:v>
      </x:c>
    </x:row>
    <x:row r="27" ht="44" customHeight="1">
      <x:c r="A27" s="30" t="str">
        <x:v>API联系方式已获取</x:v>
      </x:c>
      <x:c r="B27" s="30" t="str">
        <x:v>常规-全球</x:v>
      </x:c>
      <x:c r="C27" s="30" t="str">
        <x:v>tape</x:v>
      </x:c>
      <x:c r="D27" s="31" t="str">
        <x:v>5141777</x:v>
      </x:c>
      <x:c r="E27" s="30" t="str">
        <x:v>han soll textiles ltd.</x:v>
      </x:c>
      <x:c r="F27" s="30" t="str">
        <x:v>KR</x:v>
      </x:c>
      <x:c r="G27" s="30" t="str">
        <x:f>IF(V27&lt;&gt;"",V27,U27)</x:f>
        <x:v>annapark@hansoll.com</x:v>
      </x:c>
      <x:c r="H27" s="30" t="str">
        <x:f>IF(V27&lt;&gt;"","官网已验证",IF(ISNUMBER(SEARCH(":1",AB27)),"API已验证","未验证"))</x:f>
        <x:v>API已验证</x:v>
      </x:c>
      <x:c r="I27" s="30" t="str">
        <x:f>IF(X27&lt;&gt;"",X27,W27)</x:f>
        <x:v>+1 212-764-4270</x:v>
      </x:c>
      <x:c r="J27" s="30" t="str">
        <x:v>http://www.hansoll.com/</x:v>
      </x:c>
      <x:c r="K27" s="35" t="n">
        <x:f>ROUND((IF(G27&lt;&gt;"",40,0)+IF(I27&lt;&gt;"",25,0)+IF(J27&lt;&gt;"",20,0)+IF(Z27&lt;&gt;"",15,0))/100,2)</x:f>
        <x:v>0.85</x:v>
      </x:c>
      <x:c r="L27" s="30" t="str">
        <x:v>待联系</x:v>
      </x:c>
      <x:c r="M27" s="30" t="str"/>
      <x:c r="N27" s="30" t="str">
        <x:v>525 seventh avenue, suite 1401 new york , new york 10018 united states</x:v>
      </x:c>
      <x:c r="O27" s="30" t="str"/>
      <x:c r="P27" s="30" t="str">
        <x:v>cot,plastic machine,plastic product,crochd,synthetic fibres,stitch-bonded fibre fabrics,textile fabrics,composition leather,dyed woven cotton fabric,waterproof paper,rey,twine,cables of abaca,texturd polyester,dresses,sewing thread of synthetic staple fibres,rayon,statuettes of plastics,fabrics of synthetic fibres,tailoring machine</x:v>
      </x:c>
      <x:c r="Q27" s="32" t="n">
        <x:v>1476</x:v>
      </x:c>
      <x:c r="R27" s="32" t="n">
        <x:v>138172</x:v>
      </x:c>
      <x:c r="S27" s="33" t="n">
        <x:v>0.010700000000000001</x:v>
      </x:c>
      <x:c r="T27" s="34" t="n">
        <x:v>46048.666666666664</x:v>
      </x:c>
      <x:c r="U27" s="30" t="str">
        <x:v>annapark@hansoll.com</x:v>
      </x:c>
      <x:c r="V27" s="30" t="str"/>
      <x:c r="W27" s="30" t="str">
        <x:v>+1 212-764-4270</x:v>
      </x:c>
      <x:c r="X27" s="30" t="str"/>
      <x:c r="Y27" s="30" t="str"/>
      <x:c r="Z27" s="30" t="str"/>
      <x:c r="AA27" s="30" t="str"/>
      <x:c r="AB27" s="30" t="str">
        <x:v>annapark@hansoll.com:1</x:v>
      </x:c>
      <x:c r="AC27" s="30" t="str"/>
      <x:c r="AD27" s="30" t="str">
        <x:v>accessories of plastics</x:v>
      </x:c>
      <x:c r="AE27" s="30" t="str">
        <x:v>DÂY CHỐNG DÃN 0608 (MOBILON TAPE SHL-0608; DÂY VIỀN 0608; Kích thước: 6 MM x 0.08 MM; 826,491.41 MÉT; SỬ DỤNG TRONG MAY MẶC; CHẤT LIỆU: POLYURE THANE; HÀNG MỚI 100%)#&amp;KR</x:v>
      </x:c>
      <x:c r="AF27" s="30" t="str"/>
      <x:c r="AG27" s="30" t="str"/>
      <x:c r="AH27" s="30" t="str"/>
      <x:c r="AI27" s="30" t="str">
        <x:v>tape</x:v>
      </x:c>
      <x:c r="AJ27" s="30" t="str">
        <x:v>tape-buyers-fuzzy-search</x:v>
      </x:c>
      <x:c r="AK27" s="30" t="str">
        <x:v>UpKuajing customs company contact API</x:v>
      </x:c>
      <x:c r="AL27" s="30" t="str"/>
      <x:c r="AM27" s="30" t="str"/>
      <x:c r="AN27" s="34" t="n">
        <x:v>46220</x:v>
      </x:c>
    </x:row>
    <x:row r="28" ht="44" customHeight="1">
      <x:c r="A28" s="30" t="str">
        <x:v>API联系方式已获取</x:v>
      </x:c>
      <x:c r="B28" s="30" t="str">
        <x:v>常规-全球</x:v>
      </x:c>
      <x:c r="C28" s="30" t="str">
        <x:v>tape; masking film</x:v>
      </x:c>
      <x:c r="D28" s="31" t="str">
        <x:v>20482013</x:v>
      </x:c>
      <x:c r="E28" s="30" t="str">
        <x:v>AJIT INDUSTRIES PRIVATE LIMITED</x:v>
      </x:c>
      <x:c r="F28" s="30" t="str">
        <x:v>IN</x:v>
      </x:c>
      <x:c r="G28" s="30" t="str">
        <x:f>IF(V28&lt;&gt;"",V28,U28)</x:f>
        <x:v>marketing@ajitindustries.com; suneet@ajitindustries.com</x:v>
      </x:c>
      <x:c r="H28" s="30" t="str">
        <x:f>IF(V28&lt;&gt;"","官网已验证",IF(ISNUMBER(SEARCH(":1",AB28)),"API已验证","未验证"))</x:f>
        <x:v>API已验证</x:v>
      </x:c>
      <x:c r="I28" s="30" t="str">
        <x:f>IF(X28&lt;&gt;"",X28,W28)</x:f>
        <x:v>01149010101; +91 80 6882 0110; +91 82879 48064; +91 95996 77993</x:v>
      </x:c>
      <x:c r="J28" s="30" t="str">
        <x:v>www.ajitindustries.com</x:v>
      </x:c>
      <x:c r="K28" s="35" t="n">
        <x:f>ROUND((IF(G28&lt;&gt;"",40,0)+IF(I28&lt;&gt;"",25,0)+IF(J28&lt;&gt;"",20,0)+IF(Z28&lt;&gt;"",15,0))/100,2)</x:f>
        <x:v>1</x:v>
      </x:c>
      <x:c r="L28" s="30" t="str">
        <x:v>待联系</x:v>
      </x:c>
      <x:c r="M28" s="30" t="str"/>
      <x:c r="N28" s="30" t="str">
        <x:v>NETAJI SUBHASH PLACE, OPPOSITE WAZIRPUR DTC DEPOT, PITAMPURA , 414, 4TH FLOOR, D MALL</x:v>
      </x:c>
      <x:c r="O28" s="30" t="str"/>
      <x:c r="P28" s="30" t="str"/>
      <x:c r="Q28" s="32" t="n">
        <x:v>1440</x:v>
      </x:c>
      <x:c r="R28" s="32" t="n">
        <x:v>10572</x:v>
      </x:c>
      <x:c r="S28" s="33" t="n">
        <x:v>0.1362</x:v>
      </x:c>
      <x:c r="T28" s="34" t="n">
        <x:v>45868.666666666664</x:v>
      </x:c>
      <x:c r="U28" s="30" t="str">
        <x:v>marketing@ajitindustries.com; suneet@ajitindustries.com</x:v>
      </x:c>
      <x:c r="V28" s="30" t="str"/>
      <x:c r="W28" s="30" t="str">
        <x:v>01149010101; +91 80 6882 0110; +91 82879 48064; +91 95996 77993</x:v>
      </x:c>
      <x:c r="X28" s="30" t="str"/>
      <x:c r="Y28" s="30" t="str">
        <x:v>+91 82879 48064; +91 95996 77993</x:v>
      </x:c>
      <x:c r="Z28" s="30" t="str">
        <x:v>https://www.youtube.com/watch?v=TUJvH6kYIWE</x:v>
      </x:c>
      <x:c r="AA28" s="30" t="str"/>
      <x:c r="AB28" s="30" t="str">
        <x:v>marketing@ajitindustries.com:1; suneet@ajitindustries.com:1</x:v>
      </x:c>
      <x:c r="AC28" s="30" t="str">
        <x:v>PE Masking Film</x:v>
      </x:c>
      <x:c r="AD28" s="30" t="str">
        <x:v>PE; Masking film; Industrial use</x:v>
      </x:c>
      <x:c r="AE28" s="30" t="str">
        <x:v>MASKING TAPE (IN JUMBO ROLLS)PRODUCT CODE:770UU;COLOR:BEIGE;SIZE:1570mm x 2000m (RLS:53)(PIMS NO:ORIGINAL DPIIT-PPR-2025MASKING TAPE (IN JUMBO ROLLS)PRODUCT CODE:770UU;COLOR:BEIGE;; PE MASKING FILM IN LARGE ROLL SIZE: 2700MM*1600M (ROLL 600)(FOR INDUSTRIAL USE)PE MASKING FILM IN</x:v>
      </x:c>
      <x:c r="AF28" s="30" t="str">
        <x:v>PE protective film; PE masking tape; Polyethylene masking film; Industrial masking film; PE covering film</x:v>
      </x:c>
      <x:c r="AG28" s="30" t="str">
        <x:v>Polyethylene resin; Plastic additives; Petroleum; Ethylene; Catalyst</x:v>
      </x:c>
      <x:c r="AH28" s="30" t="str">
        <x:v>Automotive painting; Electronics manufacturing; Furniture production; Construction; Metal processing</x:v>
      </x:c>
      <x:c r="AI28" s="30" t="str">
        <x:v>tape; masking film</x:v>
      </x:c>
      <x:c r="AJ28" s="30" t="str">
        <x:v>tape-buyers-fuzzy-search; masking-film-buyers-exact-search</x:v>
      </x:c>
      <x:c r="AK28" s="30" t="str">
        <x:v>UpKuajing customs company contact API</x:v>
      </x:c>
      <x:c r="AL28" s="30" t="str"/>
      <x:c r="AM28" s="30" t="str"/>
      <x:c r="AN28" s="34" t="n">
        <x:v>46220</x:v>
      </x:c>
    </x:row>
    <x:row r="29" ht="44" customHeight="1">
      <x:c r="A29" s="30" t="str">
        <x:v>API联系方式已获取</x:v>
      </x:c>
      <x:c r="B29" s="30" t="str">
        <x:v>常规-全球</x:v>
      </x:c>
      <x:c r="C29" s="30" t="str">
        <x:v>tape</x:v>
      </x:c>
      <x:c r="D29" s="31" t="str">
        <x:v>86190</x:v>
      </x:c>
      <x:c r="E29" s="30" t="str">
        <x:v>vivo mobile india pvt ltd</x:v>
      </x:c>
      <x:c r="F29" s="30" t="str">
        <x:v>IN</x:v>
      </x:c>
      <x:c r="G29" s="30" t="str">
        <x:f>IF(V29&lt;&gt;"",V29,U29)</x:f>
        <x:v>aruna.sharma@vivoglobal.com</x:v>
      </x:c>
      <x:c r="H29" s="30" t="str">
        <x:f>IF(V29&lt;&gt;"","官网已验证",IF(ISNUMBER(SEARCH(":1",AB29)),"API已验证","未验证"))</x:f>
        <x:v>未验证</x:v>
      </x:c>
      <x:c r="I29" s="30" t="str">
        <x:f>IF(X29&lt;&gt;"",X29,W29)</x:f>
      </x:c>
      <x:c r="J29" s="30" t="str"/>
      <x:c r="K29" s="35" t="n">
        <x:f>ROUND((IF(G29&lt;&gt;"",40,0)+IF(I29&lt;&gt;"",25,0)+IF(J29&lt;&gt;"",20,0)+IF(Z29&lt;&gt;"",15,0))/100,2)</x:f>
        <x:v>0.4</x:v>
      </x:c>
      <x:c r="L29" s="30" t="str">
        <x:v>待联系</x:v>
      </x:c>
      <x:c r="M29" s="30" t="str"/>
      <x:c r="N29" s="30" t="str">
        <x:v>3rd floor, plot no. 54, sector-44, gurgaon hr 122002 india</x:v>
      </x:c>
      <x:c r="O29" s="30" t="str"/>
      <x:c r="P29" s="30" t="str">
        <x:v>production line,compac,qsfp,wifi router,md,display s,clean table,cable fixing,back camera,1 sim,cutter device,lumi,defoam,easel,color box,crown,bbl,battery connector,hook connector,al cable</x:v>
      </x:c>
      <x:c r="Q29" s="32" t="n">
        <x:v>1379</x:v>
      </x:c>
      <x:c r="R29" s="32" t="n">
        <x:v>683021</x:v>
      </x:c>
      <x:c r="S29" s="33" t="n">
        <x:v>0.002</x:v>
      </x:c>
      <x:c r="T29" s="34" t="n">
        <x:v>46079.666666666664</x:v>
      </x:c>
      <x:c r="U29" s="30" t="str">
        <x:v>aruna.sharma@vivoglobal.com</x:v>
      </x:c>
      <x:c r="V29" s="30" t="str"/>
      <x:c r="W29" s="30" t="str"/>
      <x:c r="X29" s="30" t="str"/>
      <x:c r="Y29" s="30" t="str"/>
      <x:c r="Z29" s="30" t="str"/>
      <x:c r="AA29" s="30" t="str"/>
      <x:c r="AB29" s="30" t="str">
        <x:v>aruna.sharma@vivoglobal.com:0</x:v>
      </x:c>
      <x:c r="AC29" s="30" t="str"/>
      <x:c r="AD29" s="30" t="str">
        <x:v>paper; arts; water contact indicator tape; mobile phone 5</x:v>
      </x:c>
      <x:c r="AE29" s="30" t="str">
        <x:v>5181866 WATER CONTACT INDICATOR TAPE PAPER PARTS FOR MFG OF MOBILE PHONE 5181866 WATER CONTACT INDICATOR TAPE PAPER PARTS FOR MFG</x:v>
      </x:c>
      <x:c r="AF29" s="30" t="str"/>
      <x:c r="AG29" s="30" t="str"/>
      <x:c r="AH29" s="30" t="str"/>
      <x:c r="AI29" s="30" t="str">
        <x:v>tape</x:v>
      </x:c>
      <x:c r="AJ29" s="30" t="str">
        <x:v>tape-buyers-fuzzy-search</x:v>
      </x:c>
      <x:c r="AK29" s="30" t="str">
        <x:v>UpKuajing customs company contact API</x:v>
      </x:c>
      <x:c r="AL29" s="30" t="str"/>
      <x:c r="AM29" s="30" t="str"/>
      <x:c r="AN29" s="34" t="n">
        <x:v>46220</x:v>
      </x:c>
    </x:row>
    <x:row r="30" ht="44" customHeight="1">
      <x:c r="A30" s="30" t="str">
        <x:v>API联系方式已获取</x:v>
      </x:c>
      <x:c r="B30" s="30" t="str">
        <x:v>常规-全球</x:v>
      </x:c>
      <x:c r="C30" s="30" t="str">
        <x:v>tape</x:v>
      </x:c>
      <x:c r="D30" s="31" t="str">
        <x:v>20432358</x:v>
      </x:c>
      <x:c r="E30" s="30" t="str">
        <x:v>TESA TAPES (INDIA) PRIVATE LIMITED</x:v>
      </x:c>
      <x:c r="F30" s="30" t="str">
        <x:v>IN</x:v>
      </x:c>
      <x:c r="G30" s="30" t="str">
        <x:f>IF(V30&lt;&gt;"",V30,U30)</x:f>
        <x:v>contact.india@tesa.com</x:v>
      </x:c>
      <x:c r="H30" s="30" t="str">
        <x:f>IF(V30&lt;&gt;"","官网已验证",IF(ISNUMBER(SEARCH(":1",AB30)),"API已验证","未验证"))</x:f>
        <x:v>未验证</x:v>
      </x:c>
      <x:c r="I30" s="30" t="str">
        <x:f>IF(X30&lt;&gt;"",X30,W30)</x:f>
      </x:c>
      <x:c r="J30" s="30" t="str">
        <x:v>www.tesa.in</x:v>
      </x:c>
      <x:c r="K30" s="35" t="n">
        <x:f>ROUND((IF(G30&lt;&gt;"",40,0)+IF(I30&lt;&gt;"",25,0)+IF(J30&lt;&gt;"",20,0)+IF(Z30&lt;&gt;"",15,0))/100,2)</x:f>
        <x:v>0.75</x:v>
      </x:c>
      <x:c r="L30" s="30" t="str">
        <x:v>待联系</x:v>
      </x:c>
      <x:c r="M30" s="30" t="str"/>
      <x:c r="N30" s="30" t="str">
        <x:v>301, 3RD FLOOR , LAKHANI CENTRIUM , PLOT NO. 27, SECTOR 15, CBD BELAPUR NAVI MUMBAI</x:v>
      </x:c>
      <x:c r="O30" s="30" t="str"/>
      <x:c r="P30" s="30" t="str">
        <x:v>Self-adhesive·products·and·solutions</x:v>
      </x:c>
      <x:c r="Q30" s="32" t="n">
        <x:v>1322</x:v>
      </x:c>
      <x:c r="R30" s="32" t="n">
        <x:v>9090</x:v>
      </x:c>
      <x:c r="S30" s="33" t="n">
        <x:v>0.1454</x:v>
      </x:c>
      <x:c r="T30" s="34" t="n">
        <x:v>45867.666666666664</x:v>
      </x:c>
      <x:c r="U30" s="30" t="str">
        <x:v>contact.india@tesa.com</x:v>
      </x:c>
      <x:c r="V30" s="30" t="str"/>
      <x:c r="W30" s="30" t="str"/>
      <x:c r="X30" s="30" t="str"/>
      <x:c r="Y30" s="30" t="str"/>
      <x:c r="Z30" s="30" t="str">
        <x:v>https://www.linkedin.com/company/tesa</x:v>
      </x:c>
      <x:c r="AA30" s="30" t="str"/>
      <x:c r="AB30" s="30" t="str">
        <x:v>contact.india@tesa.com:0</x:v>
      </x:c>
      <x:c r="AC30" s="30" t="str"/>
      <x:c r="AD30" s="30" t="str"/>
      <x:c r="AE30" s="30" t="str">
        <x:v>P/N:60996-60000-43 TS4363TLW050M10800 4363-PV43 TESA D/S ADHESIVE TAPE 1080MMX50MP/N:60996-60000-43 TS4363TLW050M10800 4363-PV43 TESA D/S ADH</x:v>
      </x:c>
      <x:c r="AF30" s="30" t="str"/>
      <x:c r="AG30" s="30" t="str"/>
      <x:c r="AH30" s="30" t="str"/>
      <x:c r="AI30" s="30" t="str">
        <x:v>tape</x:v>
      </x:c>
      <x:c r="AJ30" s="30" t="str">
        <x:v>tape-buyers-fuzzy-search</x:v>
      </x:c>
      <x:c r="AK30" s="30" t="str">
        <x:v>UpKuajing customs company contact API</x:v>
      </x:c>
      <x:c r="AL30" s="30" t="str"/>
      <x:c r="AM30" s="30" t="str"/>
      <x:c r="AN30" s="34" t="n">
        <x:v>46220</x:v>
      </x:c>
    </x:row>
    <x:row r="31" ht="44" customHeight="1">
      <x:c r="A31" s="30" t="str">
        <x:v>API联系方式已获取</x:v>
      </x:c>
      <x:c r="B31" s="30" t="str">
        <x:v>常规-全球</x:v>
      </x:c>
      <x:c r="C31" s="30" t="str">
        <x:v>masking film</x:v>
      </x:c>
      <x:c r="D31" s="31" t="str">
        <x:v>28739610</x:v>
      </x:c>
      <x:c r="E31" s="30" t="str">
        <x:v>SARASWATI PLASTOTECH INDIA PRIVATE LIMITED</x:v>
      </x:c>
      <x:c r="F31" s="30" t="str">
        <x:v>IN</x:v>
      </x:c>
      <x:c r="G31" s="30" t="str">
        <x:f>IF(V31&lt;&gt;"",V31,U31)</x:f>
        <x:v>cs@saraswatigroupdb.com</x:v>
      </x:c>
      <x:c r="H31" s="30" t="str">
        <x:f>IF(V31&lt;&gt;"","官网已验证",IF(ISNUMBER(SEARCH(":1",AB31)),"API已验证","未验证"))</x:f>
        <x:v>API已验证</x:v>
      </x:c>
      <x:c r="I31" s="30" t="str">
        <x:f>IF(X31&lt;&gt;"",X31,W31)</x:f>
        <x:v>+91 1923 222 814</x:v>
      </x:c>
      <x:c r="J31" s="30" t="str">
        <x:v>www.saraswati-group.com</x:v>
      </x:c>
      <x:c r="K31" s="35" t="n">
        <x:f>ROUND((IF(G31&lt;&gt;"",40,0)+IF(I31&lt;&gt;"",25,0)+IF(J31&lt;&gt;"",20,0)+IF(Z31&lt;&gt;"",15,0))/100,2)</x:f>
        <x:v>0.85</x:v>
      </x:c>
      <x:c r="L31" s="30" t="str">
        <x:v>待联系</x:v>
      </x:c>
      <x:c r="M31" s="30" t="str"/>
      <x:c r="N31" s="30" t="str">
        <x:v>LANE 4, PHASE 1 , SIDCO INDUSTRIAL COMPLEX</x:v>
      </x:c>
      <x:c r="O31" s="30" t="str"/>
      <x:c r="P31" s="30" t="str">
        <x:v>Plastic bottles, blow moulding multilayer bottles, injection moulding articals, measuring cups, multiwall polycarbonate sheets, and ultra lite multiwall polycobonate sheet</x:v>
      </x:c>
      <x:c r="Q31" s="32" t="n">
        <x:v>28</x:v>
      </x:c>
      <x:c r="R31" s="32" t="n">
        <x:v>419</x:v>
      </x:c>
      <x:c r="S31" s="33" t="n">
        <x:v>0.0668</x:v>
      </x:c>
      <x:c r="T31" s="34" t="n">
        <x:v>45672.666666666664</x:v>
      </x:c>
      <x:c r="U31" s="30" t="str">
        <x:v>cs@saraswatigroupdb.com</x:v>
      </x:c>
      <x:c r="V31" s="30" t="str"/>
      <x:c r="W31" s="30" t="str">
        <x:v>+91 1923 222 814</x:v>
      </x:c>
      <x:c r="X31" s="30" t="str"/>
      <x:c r="Y31" s="30" t="str"/>
      <x:c r="Z31" s="30" t="str"/>
      <x:c r="AA31" s="30" t="str"/>
      <x:c r="AB31" s="30" t="str">
        <x:v>cs@saraswatigroupdb.com:1</x:v>
      </x:c>
      <x:c r="AC31" s="30" t="str">
        <x:v>Masking film</x:v>
      </x:c>
      <x:c r="AD31" s="30" t="str">
        <x:v>Masking film; Protection film; Clear film; PS sheet</x:v>
      </x:c>
      <x:c r="AE31" s="30" t="str">
        <x:v>MASKING FILM (PRE PROTECTION FILM),FILM CLEAR FILM FOR PS SHEET,50*1250*1500(20 ROLLS)(ACTUAL USER)MASKING FILM (PRE PROTECTION FILM)</x:v>
      </x:c>
      <x:c r="AF31" s="30" t="str">
        <x:v>Pre - protection film; Surface masking film; Clear masking film; PS sheet protection film; Temporary masking film</x:v>
      </x:c>
      <x:c r="AG31" s="30" t="str">
        <x:v>Plastic resin; Polymer; Additives; Solvents; Pigments</x:v>
      </x:c>
      <x:c r="AH31" s="30" t="str">
        <x:v>Electronics manufacturing; Automotive painting; Furniture production; Glass manufacturing; Construction</x:v>
      </x:c>
      <x:c r="AI31" s="30" t="str">
        <x:v>masking film</x:v>
      </x:c>
      <x:c r="AJ31" s="30" t="str">
        <x:v>masking-film-buyers-exact-search</x:v>
      </x:c>
      <x:c r="AK31" s="30" t="str">
        <x:v>UpKuajing customs company contact API</x:v>
      </x:c>
      <x:c r="AL31" s="30" t="str"/>
      <x:c r="AM31" s="30" t="str"/>
      <x:c r="AN31" s="34" t="n">
        <x:v>46220</x:v>
      </x:c>
    </x:row>
    <x:row r="32" ht="44" customHeight="1">
      <x:c r="A32" s="30" t="str">
        <x:v>API联系方式已获取</x:v>
      </x:c>
      <x:c r="B32" s="30" t="str">
        <x:v>常规-全球</x:v>
      </x:c>
      <x:c r="C32" s="30" t="str">
        <x:v>masking film</x:v>
      </x:c>
      <x:c r="D32" s="31" t="str">
        <x:v>20208403</x:v>
      </x:c>
      <x:c r="E32" s="30" t="str">
        <x:v>AIR WORKS INDIA (ENGINEERING)PVT LTD</x:v>
      </x:c>
      <x:c r="F32" s="30" t="str">
        <x:v>IN</x:v>
      </x:c>
      <x:c r="G32" s="30" t="str">
        <x:f>IF(V32&lt;&gt;"",V32,U32)</x:f>
        <x:v>deepak.goyal@airworks.in</x:v>
      </x:c>
      <x:c r="H32" s="30" t="str">
        <x:f>IF(V32&lt;&gt;"","官网已验证",IF(ISNUMBER(SEARCH(":1",AB32)),"API已验证","未验证"))</x:f>
        <x:v>API已验证</x:v>
      </x:c>
      <x:c r="I32" s="30" t="str">
        <x:f>IF(X32&lt;&gt;"",X32,W32)</x:f>
        <x:v>+91 124 464 2200</x:v>
      </x:c>
      <x:c r="J32" s="30" t="str">
        <x:v>www.airworks.in</x:v>
      </x:c>
      <x:c r="K32" s="35" t="n">
        <x:f>ROUND((IF(G32&lt;&gt;"",40,0)+IF(I32&lt;&gt;"",25,0)+IF(J32&lt;&gt;"",20,0)+IF(Z32&lt;&gt;"",15,0))/100,2)</x:f>
        <x:v>1</x:v>
      </x:c>
      <x:c r="L32" s="30" t="str">
        <x:v>待联系</x:v>
      </x:c>
      <x:c r="M32" s="30" t="str"/>
      <x:c r="N32" s="30" t="str">
        <x:v>BOMBAY INTERNATIONAL AIR PORTGATE NO 8 SANTACRUZ E</x:v>
      </x:c>
      <x:c r="O32" s="30" t="str"/>
      <x:c r="P32" s="30" t="str">
        <x:v>Offers aircraft management, business and general aviation MRO, commercial aviation MRO, and avionics upgrade and retrofit services</x:v>
      </x:c>
      <x:c r="Q32" s="32" t="n">
        <x:v>16</x:v>
      </x:c>
      <x:c r="R32" s="32" t="n">
        <x:v>29811</x:v>
      </x:c>
      <x:c r="S32" s="33" t="n">
        <x:v>0.0005</x:v>
      </x:c>
      <x:c r="T32" s="34" t="n">
        <x:v>45845.666666666664</x:v>
      </x:c>
      <x:c r="U32" s="30" t="str">
        <x:v>deepak.goyal@airworks.in</x:v>
      </x:c>
      <x:c r="V32" s="30" t="str"/>
      <x:c r="W32" s="30" t="str">
        <x:v>+91 124 464 2200</x:v>
      </x:c>
      <x:c r="X32" s="30" t="str"/>
      <x:c r="Y32" s="30" t="str"/>
      <x:c r="Z32" s="30" t="str">
        <x:v>https://www.facebook.com/AirworksIndiaenggPvtLtd; https://www.linkedin.com/company/air-works</x:v>
      </x:c>
      <x:c r="AA32" s="30" t="str"/>
      <x:c r="AB32" s="30" t="str">
        <x:v>deepak.goyal@airworks.in:1</x:v>
      </x:c>
      <x:c r="AC32" s="30" t="str">
        <x:v>Masking Film</x:v>
      </x:c>
      <x:c r="AD32" s="30" t="str">
        <x:v>Masking Film; Aircraft use; Blue</x:v>
      </x:c>
      <x:c r="AE32" s="30" t="str">
        <x:v>WTE-MF-17-G Masking Film- 6m x 100m x 17mu Blue(Carton:-98cmx 15 x 15 - Per Roll)(FOR AIRCRAFT USE)(ACTUAL USE)18 ROLLSWTE-MF-17-G Masking Film- 6m x 100m x 17mu Blue(Carton:-98cm</x:v>
      </x:c>
      <x:c r="AF32" s="30" t="str">
        <x:v>Painter's tape; Protective film; Covering film; Surface protection film; Temporary masking film</x:v>
      </x:c>
      <x:c r="AG32" s="30" t="str">
        <x:v>Plastic resin; Polymer; Additives; Pigments; Adhesive</x:v>
      </x:c>
      <x:c r="AH32" s="30" t="str">
        <x:v>Aircraft manufacturing; Aircraft maintenance; Automotive painting; Industrial coating; Construction painting</x:v>
      </x:c>
      <x:c r="AI32" s="30" t="str">
        <x:v>masking film</x:v>
      </x:c>
      <x:c r="AJ32" s="30" t="str">
        <x:v>masking-film-buyers-exact-search</x:v>
      </x:c>
      <x:c r="AK32" s="30" t="str">
        <x:v>UpKuajing customs company contact API</x:v>
      </x:c>
      <x:c r="AL32" s="30" t="str"/>
      <x:c r="AM32" s="30" t="str"/>
      <x:c r="AN32" s="34" t="n">
        <x:v>46220</x:v>
      </x:c>
    </x:row>
    <x:row r="33" ht="44" customHeight="1">
      <x:c r="A33" s="30" t="str">
        <x:v>API联系方式已获取</x:v>
      </x:c>
      <x:c r="B33" s="30" t="str">
        <x:v>常规-全球</x:v>
      </x:c>
      <x:c r="C33" s="30" t="str">
        <x:v>masking film</x:v>
      </x:c>
      <x:c r="D33" s="31" t="str">
        <x:v>22311398</x:v>
      </x:c>
      <x:c r="E33" s="30" t="str">
        <x:v>SUMAX ENGINEERING PRIVATE LIMITED</x:v>
      </x:c>
      <x:c r="F33" s="30" t="str">
        <x:v>IN</x:v>
      </x:c>
      <x:c r="G33" s="30" t="str">
        <x:f>IF(V33&lt;&gt;"",V33,U33)</x:f>
        <x:v>info@sumaxindia.com</x:v>
      </x:c>
      <x:c r="H33" s="30" t="str">
        <x:f>IF(V33&lt;&gt;"","官网已验证",IF(ISNUMBER(SEARCH(":1",AB33)),"API已验证","未验证"))</x:f>
        <x:v>API已验证</x:v>
      </x:c>
      <x:c r="I33" s="30" t="str">
        <x:f>IF(X33&lt;&gt;"",X33,W33)</x:f>
        <x:v>+91 40 2773 7001</x:v>
      </x:c>
      <x:c r="J33" s="30" t="str">
        <x:v>www.sumaxindia.com</x:v>
      </x:c>
      <x:c r="K33" s="35" t="n">
        <x:f>ROUND((IF(G33&lt;&gt;"",40,0)+IF(I33&lt;&gt;"",25,0)+IF(J33&lt;&gt;"",20,0)+IF(Z33&lt;&gt;"",15,0))/100,2)</x:f>
        <x:v>0.85</x:v>
      </x:c>
      <x:c r="L33" s="30" t="str">
        <x:v>待联系</x:v>
      </x:c>
      <x:c r="M33" s="30" t="str"/>
      <x:c r="N33" s="30" t="str">
        <x:v>NO. 45 , SHANTHI NIKETHAN COLONY, MAHENDRA HILLS , EAST MARREDPALLY</x:v>
      </x:c>
      <x:c r="O33" s="30" t="str"/>
      <x:c r="P33" s="30" t="str"/>
      <x:c r="Q33" s="32" t="n">
        <x:v>12</x:v>
      </x:c>
      <x:c r="R33" s="32" t="n">
        <x:v>5174</x:v>
      </x:c>
      <x:c r="S33" s="33" t="n">
        <x:v>0.0023</x:v>
      </x:c>
      <x:c r="T33" s="34" t="n">
        <x:v>45597.666666666664</x:v>
      </x:c>
      <x:c r="U33" s="30" t="str">
        <x:v>info@sumaxindia.com</x:v>
      </x:c>
      <x:c r="V33" s="30" t="str"/>
      <x:c r="W33" s="30" t="str">
        <x:v>+91 40 2773 7001</x:v>
      </x:c>
      <x:c r="X33" s="30" t="str"/>
      <x:c r="Y33" s="30" t="str"/>
      <x:c r="Z33" s="30" t="str"/>
      <x:c r="AA33" s="30" t="str"/>
      <x:c r="AB33" s="30" t="str">
        <x:v>info@sumaxindia.com:1</x:v>
      </x:c>
      <x:c r="AC33" s="30" t="str">
        <x:v>Masking Film</x:v>
      </x:c>
      <x:c r="AD33" s="30" t="str">
        <x:v>Masking; Film</x:v>
      </x:c>
      <x:c r="AE33" s="30" t="str">
        <x:v>MASKING FILM (535 MMX1200M) 1 PCS</x:v>
      </x:c>
      <x:c r="AF33" s="30" t="str">
        <x:v>Painter's tape film; Protective masking film; Temporary masking film; Construction masking film; Decorative masking film</x:v>
      </x:c>
      <x:c r="AG33" s="30" t="str">
        <x:v>Plastic resin; Polymer; Chemical additives; Adhesive; Base film material</x:v>
      </x:c>
      <x:c r="AH33" s="30" t="str">
        <x:v>Painting projects; Construction sites; Automotive refinishing; Furniture manufacturing; Decorative work</x:v>
      </x:c>
      <x:c r="AI33" s="30" t="str">
        <x:v>masking film</x:v>
      </x:c>
      <x:c r="AJ33" s="30" t="str">
        <x:v>masking-film-buyers-exact-search</x:v>
      </x:c>
      <x:c r="AK33" s="30" t="str">
        <x:v>UpKuajing customs company contact API</x:v>
      </x:c>
      <x:c r="AL33" s="30" t="str"/>
      <x:c r="AM33" s="30" t="str"/>
      <x:c r="AN33" s="34" t="n">
        <x:v>46220</x:v>
      </x:c>
    </x:row>
    <x:row r="34" ht="44" customHeight="1">
      <x:c r="A34" s="30" t="str">
        <x:v>API联系方式已获取</x:v>
      </x:c>
      <x:c r="B34" s="30" t="str">
        <x:v>常规-全球</x:v>
      </x:c>
      <x:c r="C34" s="30" t="str">
        <x:v>masking film</x:v>
      </x:c>
      <x:c r="D34" s="31" t="str">
        <x:v>370961</x:v>
      </x:c>
      <x:c r="E34" s="30" t="str">
        <x:v>ajit industries pvt ltd.</x:v>
      </x:c>
      <x:c r="F34" s="30" t="str">
        <x:v>IN</x:v>
      </x:c>
      <x:c r="G34" s="30" t="str">
        <x:f>IF(V34&lt;&gt;"",V34,U34)</x:f>
        <x:v>aipl.sunsui@ajitindustries.com; marketing@ajitindustries.com</x:v>
      </x:c>
      <x:c r="H34" s="30" t="str">
        <x:f>IF(V34&lt;&gt;"","官网已验证",IF(ISNUMBER(SEARCH(":1",AB34)),"API已验证","未验证"))</x:f>
        <x:v>API已验证</x:v>
      </x:c>
      <x:c r="I34" s="30" t="str">
        <x:f>IF(X34&lt;&gt;"",X34,W34)</x:f>
        <x:v>+91 11 4901 0101</x:v>
      </x:c>
      <x:c r="J34" s="30" t="str">
        <x:v>http://www.ajitindustries.com/</x:v>
      </x:c>
      <x:c r="K34" s="35" t="n">
        <x:f>ROUND((IF(G34&lt;&gt;"",40,0)+IF(I34&lt;&gt;"",25,0)+IF(J34&lt;&gt;"",20,0)+IF(Z34&lt;&gt;"",15,0))/100,2)</x:f>
        <x:v>0.85</x:v>
      </x:c>
      <x:c r="L34" s="30" t="str">
        <x:v>待联系</x:v>
      </x:c>
      <x:c r="M34" s="30" t="str"/>
      <x:c r="N34" s="30" t="str">
        <x:v>414/415, d-mall, 4th floor, netaji subhash place,opposite wazirpur dtc depot, pitampura, delhi -110034, (india)</x:v>
      </x:c>
      <x:c r="O34" s="30" t="str"/>
      <x:c r="P34" s="30" t="str">
        <x:v>orange,lows,coating head,perma,teli,foil,harness,h pin,tape slitting,50 micron,slot die,type m,g25,color blue,black print,pen,plain core,e11,machine,self adhesive transfer</x:v>
      </x:c>
      <x:c r="Q34" s="32" t="n">
        <x:v>10</x:v>
      </x:c>
      <x:c r="R34" s="32" t="n">
        <x:v>11268</x:v>
      </x:c>
      <x:c r="S34" s="33" t="n">
        <x:v>0.0009</x:v>
      </x:c>
      <x:c r="T34" s="34" t="n">
        <x:v>45819.666666666664</x:v>
      </x:c>
      <x:c r="U34" s="30" t="str">
        <x:v>aipl.sunsui@ajitindustries.com; marketing@ajitindustries.com</x:v>
      </x:c>
      <x:c r="V34" s="30" t="str"/>
      <x:c r="W34" s="30" t="str">
        <x:v>+91 11 4901 0101</x:v>
      </x:c>
      <x:c r="X34" s="30" t="str"/>
      <x:c r="Y34" s="30" t="str"/>
      <x:c r="Z34" s="30" t="str"/>
      <x:c r="AA34" s="30" t="str"/>
      <x:c r="AB34" s="30" t="str">
        <x:v>aipl.sunsui@ajitindustries.com:0; marketing@ajitindustries.com:1</x:v>
      </x:c>
      <x:c r="AC34" s="30" t="str"/>
      <x:c r="AD34" s="30" t="str">
        <x:v>roll; tria; masking film; arg; e roll</x:v>
      </x:c>
      <x:c r="AE34" s="30" t="str">
        <x:v>PE MASKING FILM IN LARGE ROLL SIZE: 2700MM*1600M (ROLL 600)(FOR INDUSTRIAL USE)PE MASKING FILM IN</x:v>
      </x:c>
      <x:c r="AF34" s="30" t="str"/>
      <x:c r="AG34" s="30" t="str"/>
      <x:c r="AH34" s="30" t="str"/>
      <x:c r="AI34" s="30" t="str">
        <x:v>masking film</x:v>
      </x:c>
      <x:c r="AJ34" s="30" t="str">
        <x:v>masking-film-buyers-exact-search</x:v>
      </x:c>
      <x:c r="AK34" s="30" t="str">
        <x:v>UpKuajing customs company contact API</x:v>
      </x:c>
      <x:c r="AL34" s="30" t="str"/>
      <x:c r="AM34" s="30" t="str"/>
      <x:c r="AN34" s="34" t="n">
        <x:v>46220</x:v>
      </x:c>
    </x:row>
    <x:row r="35" ht="44" customHeight="1">
      <x:c r="A35" s="30" t="str">
        <x:v>API联系方式已获取</x:v>
      </x:c>
      <x:c r="B35" s="30" t="str">
        <x:v>常规-全球</x:v>
      </x:c>
      <x:c r="C35" s="30" t="str">
        <x:v>masking film</x:v>
      </x:c>
      <x:c r="D35" s="31" t="str">
        <x:v>27951674</x:v>
      </x:c>
      <x:c r="E35" s="30" t="str">
        <x:v>PRIYANKA ENTERPRISE</x:v>
      </x:c>
      <x:c r="F35" s="30" t="str">
        <x:v>IN</x:v>
      </x:c>
      <x:c r="G35" s="30" t="str">
        <x:f>IF(V35&lt;&gt;"",V35,U35)</x:f>
        <x:v>info@modularfurniturebpl.com; pryentp@hotmail.com</x:v>
      </x:c>
      <x:c r="H35" s="30" t="str">
        <x:f>IF(V35&lt;&gt;"","官网已验证",IF(ISNUMBER(SEARCH(":1",AB35)),"API已验证","未验证"))</x:f>
        <x:v>API已验证</x:v>
      </x:c>
      <x:c r="I35" s="30" t="str">
        <x:f>IF(X35&lt;&gt;"",X35,W35)</x:f>
        <x:v>919425; +91 94250 08422; +91 94250 08433; +91 94250 26178</x:v>
      </x:c>
      <x:c r="J35" s="30" t="str">
        <x:v>modularfurniturebpl.com</x:v>
      </x:c>
      <x:c r="K35" s="35" t="n">
        <x:f>ROUND((IF(G35&lt;&gt;"",40,0)+IF(I35&lt;&gt;"",25,0)+IF(J35&lt;&gt;"",20,0)+IF(Z35&lt;&gt;"",15,0))/100,2)</x:f>
        <x:v>1</x:v>
      </x:c>
      <x:c r="L35" s="30" t="str">
        <x:v>待联系</x:v>
      </x:c>
      <x:c r="M35" s="30" t="str"/>
      <x:c r="N35" s="30" t="str">
        <x:v>bhopal, madhya pradesh, india</x:v>
      </x:c>
      <x:c r="O35" s="30" t="str"/>
      <x:c r="P35" s="30" t="str"/>
      <x:c r="Q35" s="32" t="n">
        <x:v>10</x:v>
      </x:c>
      <x:c r="R35" s="32" t="n">
        <x:v>765</x:v>
      </x:c>
      <x:c r="S35" s="33" t="n">
        <x:v>0.0131</x:v>
      </x:c>
      <x:c r="T35" s="34" t="n">
        <x:v>45693.666666666664</x:v>
      </x:c>
      <x:c r="U35" s="30" t="str">
        <x:v>info@modularfurniturebpl.com; pryentp@hotmail.com</x:v>
      </x:c>
      <x:c r="V35" s="30" t="str"/>
      <x:c r="W35" s="30" t="str">
        <x:v>919425; +91 94250 08422; +91 94250 08433; +91 94250 26178</x:v>
      </x:c>
      <x:c r="X35" s="30" t="str"/>
      <x:c r="Y35" s="30" t="str">
        <x:v>+91 94250 08422; +91 94250 26178</x:v>
      </x:c>
      <x:c r="Z35" s="30" t="str">
        <x:v>https://www.facebook.com/pages/Priyanka-Enterprises/278369785647345; https://www.linkedin.com/company/priyanka-enterprise</x:v>
      </x:c>
      <x:c r="AA35" s="30" t="str"/>
      <x:c r="AB35" s="30" t="str">
        <x:v>info@modularfurniturebpl.com:0; pryentp@hotmail.com:1</x:v>
      </x:c>
      <x:c r="AC35" s="30" t="str">
        <x:v>Pretaped masking film; Masking tape</x:v>
      </x:c>
      <x:c r="AD35" s="30" t="str">
        <x:v>Pretaped masking film; Masking tape; HDPE; Shrink wrapped; Color label</x:v>
      </x:c>
      <x:c r="AE35" s="30" t="str">
        <x:v>PRETAPED MASKING FILM - 1M X 25M,PRETAPED MASKING FILM, HDPE, MASKING TAPE, EACH ROLL SHRINK WRAPPED WITH COLOR LABEL (2PRETAPED MASKING FILM - 1M X 25M,PRETAPED MASKING FILM, HDPE</x:v>
      </x:c>
      <x:c r="AF35" s="30" t="str">
        <x:v>Masking film with tape; Pre - taped film for masking; Self - taped masking film; HDPE masking film; Taped masking sheet</x:v>
      </x:c>
      <x:c r="AG35" s="30" t="str">
        <x:v>High - density polyethylene resin; Plastic additives; Adhesive materials; Polymer raw materials; Tape backing materials</x:v>
      </x:c>
      <x:c r="AH35" s="30" t="str">
        <x:v>Painting industry; Automotive refinishing; Construction projects; Furniture manufacturing; DIY home improvement</x:v>
      </x:c>
      <x:c r="AI35" s="30" t="str">
        <x:v>masking film</x:v>
      </x:c>
      <x:c r="AJ35" s="30" t="str">
        <x:v>masking-film-buyers-exact-search</x:v>
      </x:c>
      <x:c r="AK35" s="30" t="str">
        <x:v>UpKuajing customs company contact API</x:v>
      </x:c>
      <x:c r="AL35" s="30" t="str"/>
      <x:c r="AM35" s="30" t="str"/>
      <x:c r="AN35" s="34" t="n">
        <x:v>46220</x:v>
      </x:c>
    </x:row>
    <x:row r="36" ht="44" customHeight="1">
      <x:c r="A36" s="30" t="str">
        <x:v>API联系方式已获取</x:v>
      </x:c>
      <x:c r="B36" s="30" t="str">
        <x:v>常规-全球</x:v>
      </x:c>
      <x:c r="C36" s="30" t="str">
        <x:v>masking film</x:v>
      </x:c>
      <x:c r="D36" s="31" t="str">
        <x:v>20199535</x:v>
      </x:c>
      <x:c r="E36" s="30" t="str">
        <x:v>GRINDWELL NORTON LIMITED</x:v>
      </x:c>
      <x:c r="F36" s="30" t="str">
        <x:v>IN</x:v>
      </x:c>
      <x:c r="G36" s="30" t="str">
        <x:f>IF(V36&lt;&gt;"",V36,U36)</x:f>
        <x:v>sharecmpt.gno@saint-gobain.com</x:v>
      </x:c>
      <x:c r="H36" s="30" t="str">
        <x:f>IF(V36&lt;&gt;"","官网已验证",IF(ISNUMBER(SEARCH(":1",AB36)),"API已验证","未验证"))</x:f>
        <x:v>API已验证</x:v>
      </x:c>
      <x:c r="I36" s="30" t="str">
        <x:f>IF(X36&lt;&gt;"",X36,W36)</x:f>
        <x:v>00975261212261166; 01204061800899; 016124236502425851; 0202551089193; 0222723002126; 0224013257825852590; 04027713040; 065722254152228432; 07104676464; 079400399010203; 0802559400425587248; 08030978888; 0877228573135; 098050253045; +91 22 4021 2121; 9327266444</x:v>
      </x:c>
      <x:c r="J36" s="30" t="str">
        <x:v>www.grindwellnorton.com</x:v>
      </x:c>
      <x:c r="K36" s="35" t="n">
        <x:f>ROUND((IF(G36&lt;&gt;"",40,0)+IF(I36&lt;&gt;"",25,0)+IF(J36&lt;&gt;"",20,0)+IF(Z36&lt;&gt;"",15,0))/100,2)</x:f>
        <x:v>1</x:v>
      </x:c>
      <x:c r="L36" s="30" t="str">
        <x:v>待联系</x:v>
      </x:c>
      <x:c r="M36" s="30" t="str"/>
      <x:c r="N36" s="30" t="str">
        <x:v>ARMY &amp; NAVY BUILDING , 148, M G ROAD</x:v>
      </x:c>
      <x:c r="O36" s="30" t="str"/>
      <x:c r="P36" s="30" t="str">
        <x:v>Abrasives, ceramics, and plastic products</x:v>
      </x:c>
      <x:c r="Q36" s="32" t="n">
        <x:v>7</x:v>
      </x:c>
      <x:c r="R36" s="32" t="n">
        <x:v>50228</x:v>
      </x:c>
      <x:c r="S36" s="33" t="n">
        <x:v>0.0001</x:v>
      </x:c>
      <x:c r="T36" s="34" t="n">
        <x:v>45833.666666666664</x:v>
      </x:c>
      <x:c r="U36" s="30" t="str">
        <x:v>sharecmpt.gno@saint-gobain.com</x:v>
      </x:c>
      <x:c r="V36" s="30" t="str"/>
      <x:c r="W36" s="30" t="str">
        <x:v>00975261212261166; 01204061800899; 016124236502425851; 0202551089193; 0222723002126; 0224013257825852590; 04027713040; 065722254152228432; 07104676464; 079400399010203; 0802559400425587248; 08030978888; 0877228573135; 098050253045; +91 22 4021 2121; 9327266444</x:v>
      </x:c>
      <x:c r="X36" s="30" t="str"/>
      <x:c r="Y36" s="30" t="str"/>
      <x:c r="Z36" s="30" t="str">
        <x:v>https://www.facebook.com/saintgobaingroup; https://www.linkedin.com/company/grindwell-norton-ltd; https://www.linkedin.com/company/saint-gobain-group-india; https://www.pinterest.com/saintgobainnews; https://www.youtube.com/user/SaintGobainTV</x:v>
      </x:c>
      <x:c r="AA36" s="30" t="str"/>
      <x:c r="AB36" s="30" t="str">
        <x:v>sharecmpt.gno@saint-gobain.com:1</x:v>
      </x:c>
      <x:c r="AC36" s="30" t="str">
        <x:v>Plastic Masking Film</x:v>
      </x:c>
      <x:c r="AD36" s="30" t="str">
        <x:v>Plastic; Masking Film; MFG Use</x:v>
      </x:c>
      <x:c r="AE36" s="30" t="str">
        <x:v>PLASTIC MASKING FILM 9MIC X 4M X 150M 66254455280 600ROLLS (FOR MFG USE)PLASTIC MASKING FILM 9MIC X 4M X 150M 66254455280 600ROLLS (</x:v>
      </x:c>
      <x:c r="AF36" s="30" t="str">
        <x:v>Plastic Film Mask; Masking Plastic Sheeting; Plastic Protective Film; Film Masking; Plastic Covering Film</x:v>
      </x:c>
      <x:c r="AG36" s="30" t="str">
        <x:v>Plastic Resin; Polymer; Additives; Plasticizer; Colorant</x:v>
      </x:c>
      <x:c r="AH36" s="30" t="str">
        <x:v>Automotive Painting; Furniture Manufacturing; Electronics Assembly; Construction; Printing</x:v>
      </x:c>
      <x:c r="AI36" s="30" t="str">
        <x:v>masking film</x:v>
      </x:c>
      <x:c r="AJ36" s="30" t="str">
        <x:v>masking-film-buyers-exact-search</x:v>
      </x:c>
      <x:c r="AK36" s="30" t="str">
        <x:v>UpKuajing customs company contact API</x:v>
      </x:c>
      <x:c r="AL36" s="30" t="str"/>
      <x:c r="AM36" s="30" t="str"/>
      <x:c r="AN36" s="34" t="n">
        <x:v>46220</x:v>
      </x:c>
    </x:row>
    <x:row r="37" ht="44" customHeight="1">
      <x:c r="A37" s="30" t="str">
        <x:v>API联系方式已获取</x:v>
      </x:c>
      <x:c r="B37" s="30" t="str">
        <x:v>常规-全球</x:v>
      </x:c>
      <x:c r="C37" s="30" t="str">
        <x:v>masking film</x:v>
      </x:c>
      <x:c r="D37" s="31" t="str">
        <x:v>168017</x:v>
      </x:c>
      <x:c r="E37" s="30" t="str">
        <x:v>grindwell norton ltd</x:v>
      </x:c>
      <x:c r="F37" s="30" t="str"/>
      <x:c r="G37" s="30" t="str">
        <x:f>IF(V37&lt;&gt;"",V37,U37)</x:f>
        <x:v>bonded.gno@saint-gobain.com</x:v>
      </x:c>
      <x:c r="H37" s="30" t="str">
        <x:f>IF(V37&lt;&gt;"","官网已验证",IF(ISNUMBER(SEARCH(":1",AB37)),"API已验证","未验证"))</x:f>
        <x:v>未验证</x:v>
      </x:c>
      <x:c r="I37" s="30" t="str">
        <x:f>IF(X37&lt;&gt;"",X37,W37)</x:f>
        <x:v>+91 22 4021 2121</x:v>
      </x:c>
      <x:c r="J37" s="30" t="str">
        <x:v>http://www.grindwellnorton.co.in/</x:v>
      </x:c>
      <x:c r="K37" s="35" t="n">
        <x:f>ROUND((IF(G37&lt;&gt;"",40,0)+IF(I37&lt;&gt;"",25,0)+IF(J37&lt;&gt;"",20,0)+IF(Z37&lt;&gt;"",15,0))/100,2)</x:f>
        <x:v>0.85</x:v>
      </x:c>
      <x:c r="L37" s="30" t="str">
        <x:v>待联系</x:v>
      </x:c>
      <x:c r="M37" s="30" t="str"/>
      <x:c r="N37" s="30" t="str">
        <x:v>leela business park, 5th level, andheri-kurla road, andheri (e), mumbai - 400059.</x:v>
      </x:c>
      <x:c r="O37" s="30" t="str"/>
      <x:c r="P37" s="30" t="str">
        <x:v>inserted nut,nuts,arm,drill bit,dressing stick,x7,rain,hand tool,expansion foam,aed,reis,80 mesh,dag,bright raw white,s type,elma,brewery hose,smooth cover,polyethylene wax emulsion,type f</x:v>
      </x:c>
      <x:c r="Q37" s="32" t="n">
        <x:v>7</x:v>
      </x:c>
      <x:c r="R37" s="32" t="n">
        <x:v>151651</x:v>
      </x:c>
      <x:c r="S37" s="33" t="n">
        <x:v>0</x:v>
      </x:c>
      <x:c r="T37" s="34" t="n">
        <x:v>45833.666666666664</x:v>
      </x:c>
      <x:c r="U37" s="30" t="str">
        <x:v>bonded.gno@saint-gobain.com</x:v>
      </x:c>
      <x:c r="V37" s="30" t="str"/>
      <x:c r="W37" s="30" t="str">
        <x:v>+91 22 4021 2121</x:v>
      </x:c>
      <x:c r="X37" s="30" t="str"/>
      <x:c r="Y37" s="30" t="str"/>
      <x:c r="Z37" s="30" t="str"/>
      <x:c r="AA37" s="30" t="str"/>
      <x:c r="AB37" s="30" t="str">
        <x:v>bonded.gno@saint-gobain.com:0</x:v>
      </x:c>
      <x:c r="AC37" s="30" t="str">
        <x:v>Plastic masking film</x:v>
      </x:c>
      <x:c r="AD37" s="30" t="str">
        <x:v>Plastic; Masking film; MFG use</x:v>
      </x:c>
      <x:c r="AE37" s="30" t="str">
        <x:v>PLASTIC MASKING FILM 9MIC X 4M X 150M 66254455280 600ROLLS (FOR MFG USE)PLASTIC MASKING FILM 9MIC X 4M X 150M 66254455280 600ROLLS (</x:v>
      </x:c>
      <x:c r="AF37" s="30" t="str">
        <x:v>Plastic film mask; Masking plastic sheet; Plastic protective film; Film for masking; Plastic masking sheet</x:v>
      </x:c>
      <x:c r="AG37" s="30" t="str">
        <x:v>Plastic resin; Polymer; Additives; Plastic raw material; Plastic compound</x:v>
      </x:c>
      <x:c r="AH37" s="30" t="str">
        <x:v>Automotive painting; Furniture manufacturing; Electronics production; Construction painting; Metal finishing</x:v>
      </x:c>
      <x:c r="AI37" s="30" t="str">
        <x:v>masking film</x:v>
      </x:c>
      <x:c r="AJ37" s="30" t="str">
        <x:v>masking-film-buyers-exact-search</x:v>
      </x:c>
      <x:c r="AK37" s="30" t="str">
        <x:v>UpKuajing customs company contact API</x:v>
      </x:c>
      <x:c r="AL37" s="30" t="str"/>
      <x:c r="AM37" s="30" t="str"/>
      <x:c r="AN37" s="34" t="n">
        <x:v>46220</x:v>
      </x:c>
    </x:row>
    <x:row r="38" ht="44" customHeight="1">
      <x:c r="A38" s="30" t="str">
        <x:v>API联系方式已获取</x:v>
      </x:c>
      <x:c r="B38" s="30" t="str">
        <x:v>常规-全球</x:v>
      </x:c>
      <x:c r="C38" s="30" t="str">
        <x:v>masking film</x:v>
      </x:c>
      <x:c r="D38" s="31" t="str">
        <x:v>22315229</x:v>
      </x:c>
      <x:c r="E38" s="30" t="str">
        <x:v>STARCKE ABRASIVES INDIA PRIVATE LIMITED</x:v>
      </x:c>
      <x:c r="F38" s="30" t="str">
        <x:v>IN</x:v>
      </x:c>
      <x:c r="G38" s="30" t="str">
        <x:f>IF(V38&lt;&gt;"",V38,U38)</x:f>
        <x:v>accounts@starcke.in</x:v>
      </x:c>
      <x:c r="H38" s="30" t="str">
        <x:f>IF(V38&lt;&gt;"","官网已验证",IF(ISNUMBER(SEARCH(":1",AB38)),"API已验证","未验证"))</x:f>
        <x:v>API已验证</x:v>
      </x:c>
      <x:c r="I38" s="30" t="str">
        <x:f>IF(X38&lt;&gt;"",X38,W38)</x:f>
      </x:c>
      <x:c r="J38" s="30" t="str">
        <x:v>www.starckeindia.com</x:v>
      </x:c>
      <x:c r="K38" s="35" t="n">
        <x:f>ROUND((IF(G38&lt;&gt;"",40,0)+IF(I38&lt;&gt;"",25,0)+IF(J38&lt;&gt;"",20,0)+IF(Z38&lt;&gt;"",15,0))/100,2)</x:f>
        <x:v>0.6</x:v>
      </x:c>
      <x:c r="L38" s="30" t="str">
        <x:v>待联系</x:v>
      </x:c>
      <x:c r="M38" s="30" t="str"/>
      <x:c r="N38" s="30" t="str">
        <x:v>SACRED TOWER , SOUTH BLOCK 513 &amp; 514 , SURVEY NO. 75/2, WANOWARIE</x:v>
      </x:c>
      <x:c r="O38" s="30" t="str"/>
      <x:c r="P38" s="30" t="str">
        <x:v>Sheets and strips with paper and cloth backing for all hand sanding and portable machine sanding applications</x:v>
      </x:c>
      <x:c r="Q38" s="32" t="n">
        <x:v>7</x:v>
      </x:c>
      <x:c r="R38" s="32" t="n">
        <x:v>8522</x:v>
      </x:c>
      <x:c r="S38" s="33" t="n">
        <x:v>0.0008</x:v>
      </x:c>
      <x:c r="T38" s="34" t="n">
        <x:v>45739.666666666664</x:v>
      </x:c>
      <x:c r="U38" s="30" t="str">
        <x:v>accounts@starcke.in</x:v>
      </x:c>
      <x:c r="V38" s="30" t="str"/>
      <x:c r="W38" s="30" t="str"/>
      <x:c r="X38" s="30" t="str"/>
      <x:c r="Y38" s="30" t="str"/>
      <x:c r="Z38" s="30" t="str"/>
      <x:c r="AA38" s="30" t="str"/>
      <x:c r="AB38" s="30" t="str">
        <x:v>accounts@starcke.in:1</x:v>
      </x:c>
      <x:c r="AC38" s="30" t="str"/>
      <x:c r="AD38" s="30" t="str"/>
      <x:c r="AE38" s="30" t="str">
        <x:v>MASKING FILM (4mx200m with LOGO) (200 CTNS) (200 ROLL) MASKING FILM (4mx200m with LOGO) (200 CTNS) (200 ROLL)</x:v>
      </x:c>
      <x:c r="AF38" s="30" t="str"/>
      <x:c r="AG38" s="30" t="str"/>
      <x:c r="AH38" s="30" t="str"/>
      <x:c r="AI38" s="30" t="str">
        <x:v>masking film</x:v>
      </x:c>
      <x:c r="AJ38" s="30" t="str">
        <x:v>masking-film-buyers-exact-search</x:v>
      </x:c>
      <x:c r="AK38" s="30" t="str">
        <x:v>UpKuajing customs company contact API</x:v>
      </x:c>
      <x:c r="AL38" s="30" t="str"/>
      <x:c r="AM38" s="30" t="str"/>
      <x:c r="AN38" s="34" t="n">
        <x:v>46220</x:v>
      </x:c>
    </x:row>
    <x:row r="39" ht="44" customHeight="1">
      <x:c r="A39" s="30" t="str">
        <x:v>API联系方式已获取</x:v>
      </x:c>
      <x:c r="B39" s="30" t="str">
        <x:v>常规-全球</x:v>
      </x:c>
      <x:c r="C39" s="30" t="str">
        <x:v>masking film</x:v>
      </x:c>
      <x:c r="D39" s="31" t="str">
        <x:v>28930762</x:v>
      </x:c>
      <x:c r="E39" s="30" t="str">
        <x:v>SUPER SALES CORPORATION</x:v>
      </x:c>
      <x:c r="F39" s="30" t="str">
        <x:v>IN</x:v>
      </x:c>
      <x:c r="G39" s="30" t="str">
        <x:f>IF(V39&lt;&gt;"",V39,U39)</x:f>
        <x:v>career@martfury.com; contact@martfury.com; customercare@martfury.com; info@superconduits.com; media@martfury.com; vendorsupport@martfury.com</x:v>
      </x:c>
      <x:c r="H39" s="30" t="str">
        <x:f>IF(V39&lt;&gt;"","官网已验证",IF(ISNUMBER(SEARCH(":1",AB39)),"API已验证","未验证"))</x:f>
        <x:v>未验证</x:v>
      </x:c>
      <x:c r="I39" s="30" t="str">
        <x:f>IF(X39&lt;&gt;"",X39,W39)</x:f>
      </x:c>
      <x:c r="J39" s="30" t="str">
        <x:v>superconduits.com</x:v>
      </x:c>
      <x:c r="K39" s="35" t="n">
        <x:f>ROUND((IF(G39&lt;&gt;"",40,0)+IF(I39&lt;&gt;"",25,0)+IF(J39&lt;&gt;"",20,0)+IF(Z39&lt;&gt;"",15,0))/100,2)</x:f>
        <x:v>0.75</x:v>
      </x:c>
      <x:c r="L39" s="30" t="str">
        <x:v>待联系</x:v>
      </x:c>
      <x:c r="M39" s="30" t="str"/>
      <x:c r="N39" s="30" t="str">
        <x:v>delhi, delhi, india</x:v>
      </x:c>
      <x:c r="O39" s="30" t="str"/>
      <x:c r="P39" s="30" t="str"/>
      <x:c r="Q39" s="32" t="n">
        <x:v>7</x:v>
      </x:c>
      <x:c r="R39" s="32" t="n">
        <x:v>357</x:v>
      </x:c>
      <x:c r="S39" s="33" t="n">
        <x:v>0.0196</x:v>
      </x:c>
      <x:c r="T39" s="34" t="n">
        <x:v>45690.666666666664</x:v>
      </x:c>
      <x:c r="U39" s="30" t="str">
        <x:v>career@martfury.com; contact@martfury.com; customercare@martfury.com; info@superconduits.com; media@martfury.com; vendorsupport@martfury.com</x:v>
      </x:c>
      <x:c r="V39" s="30" t="str"/>
      <x:c r="W39" s="30" t="str"/>
      <x:c r="X39" s="30" t="str"/>
      <x:c r="Y39" s="30" t="str"/>
      <x:c r="Z39" s="30" t="str">
        <x:v>https://www.linkedin.com/company/super-sales-corporation</x:v>
      </x:c>
      <x:c r="AA39" s="30" t="str"/>
      <x:c r="AB39" s="30" t="str">
        <x:v>career@martfury.com:0; contact@martfury.com:0; customercare@martfury.com:0; info@superconduits.com:0; media@martfury.com:0; vendorsupport@martfury.com:0</x:v>
      </x:c>
      <x:c r="AC39" s="30" t="str">
        <x:v>Pre-taped Masking Film</x:v>
      </x:c>
      <x:c r="AD39" s="30" t="str">
        <x:v>Pre-taped; Masking Film</x:v>
      </x:c>
      <x:c r="AE39" s="30" t="str">
        <x:v>PRE-TAPED MASKING FILM,STYLE NO:80MM*45M(5400 ROLL) PRE-TAPED MASKING FILM,STYLE NO:80MM*45M(5400 ROLL)</x:v>
      </x:c>
      <x:c r="AF39" s="30" t="str">
        <x:v>Taped Masking Film; Masking Tape Film; Pre - applied Masking Film; Self - taped Masking Film; Adhesive Masking Film</x:v>
      </x:c>
      <x:c r="AG39" s="30" t="str">
        <x:v>Plastic Resin; Adhesive; Polymer; Film Base Material; Tape</x:v>
      </x:c>
      <x:c r="AH39" s="30" t="str">
        <x:v>Automotive Painting; Furniture Finishing; Construction Painting; DIY Projects; Industrial Coating</x:v>
      </x:c>
      <x:c r="AI39" s="30" t="str">
        <x:v>masking film</x:v>
      </x:c>
      <x:c r="AJ39" s="30" t="str">
        <x:v>masking-film-buyers-exact-search</x:v>
      </x:c>
      <x:c r="AK39" s="30" t="str">
        <x:v>UpKuajing customs company contact API</x:v>
      </x:c>
      <x:c r="AL39" s="30" t="str"/>
      <x:c r="AM39" s="30" t="str"/>
      <x:c r="AN39" s="34" t="n">
        <x:v>46220</x:v>
      </x:c>
    </x:row>
    <x:row r="40" ht="44" customHeight="1">
      <x:c r="A40" s="30" t="str">
        <x:v>API联系方式已获取</x:v>
      </x:c>
      <x:c r="B40" s="30" t="str">
        <x:v>常规-全球</x:v>
      </x:c>
      <x:c r="C40" s="30" t="str">
        <x:v>masking film</x:v>
      </x:c>
      <x:c r="D40" s="31" t="str">
        <x:v>67078</x:v>
      </x:c>
      <x:c r="E40" s="30" t="str">
        <x:v>aqua dynamics pvt ltd.</x:v>
      </x:c>
      <x:c r="F40" s="30" t="str">
        <x:v>LK</x:v>
      </x:c>
      <x:c r="G40" s="30" t="str">
        <x:f>IF(V40&lt;&gt;"",V40,U40)</x:f>
        <x:v>jeff.smith@aquadynamicconsultancy.com</x:v>
      </x:c>
      <x:c r="H40" s="30" t="str">
        <x:f>IF(V40&lt;&gt;"","官网已验证",IF(ISNUMBER(SEARCH(":1",AB40)),"API已验证","未验证"))</x:f>
        <x:v>未验证</x:v>
      </x:c>
      <x:c r="I40" s="30" t="str">
        <x:f>IF(X40&lt;&gt;"",X40,W40)</x:f>
      </x:c>
      <x:c r="J40" s="30" t="str">
        <x:v>http://www.aquadynamicconsultancy.com</x:v>
      </x:c>
      <x:c r="K40" s="35" t="n">
        <x:f>ROUND((IF(G40&lt;&gt;"",40,0)+IF(I40&lt;&gt;"",25,0)+IF(J40&lt;&gt;"",20,0)+IF(Z40&lt;&gt;"",15,0))/100,2)</x:f>
        <x:v>0.6</x:v>
      </x:c>
      <x:c r="L40" s="30" t="str">
        <x:v>待联系</x:v>
      </x:c>
      <x:c r="M40" s="30" t="str"/>
      <x:c r="N40" s="30" t="str">
        <x:v>721 e highway 108. sulphur, la 70665</x:v>
      </x:c>
      <x:c r="O40" s="30" t="str"/>
      <x:c r="P40" s="30" t="str">
        <x:v>barcode scanner</x:v>
      </x:c>
      <x:c r="Q40" s="32" t="n">
        <x:v>6</x:v>
      </x:c>
      <x:c r="R40" s="32" t="n">
        <x:v>15365</x:v>
      </x:c>
      <x:c r="S40" s="33" t="n">
        <x:v>0.0004</x:v>
      </x:c>
      <x:c r="T40" s="34" t="n">
        <x:v>46078.666666666664</x:v>
      </x:c>
      <x:c r="U40" s="30" t="str">
        <x:v>jeff.smith@aquadynamicconsultancy.com</x:v>
      </x:c>
      <x:c r="V40" s="30" t="str"/>
      <x:c r="W40" s="30" t="str"/>
      <x:c r="X40" s="30" t="str"/>
      <x:c r="Y40" s="30" t="str"/>
      <x:c r="Z40" s="30" t="str"/>
      <x:c r="AA40" s="30" t="str"/>
      <x:c r="AB40" s="30" t="str">
        <x:v>jeff.smith@aquadynamicconsultancy.com:0</x:v>
      </x:c>
      <x:c r="AC40" s="30" t="str"/>
      <x:c r="AD40" s="30" t="str">
        <x:v>masking film; masking; film for printing; rolls</x:v>
      </x:c>
      <x:c r="AE40" s="30" t="str">
        <x:v>54 ROLLS MASKING FILMS MASKING FILM FOR PRINTING</x:v>
      </x:c>
      <x:c r="AF40" s="30" t="str"/>
      <x:c r="AG40" s="30" t="str"/>
      <x:c r="AH40" s="30" t="str"/>
      <x:c r="AI40" s="30" t="str">
        <x:v>masking film</x:v>
      </x:c>
      <x:c r="AJ40" s="30" t="str">
        <x:v>masking-film-buyers-exact-search</x:v>
      </x:c>
      <x:c r="AK40" s="30" t="str">
        <x:v>UpKuajing customs company contact API</x:v>
      </x:c>
      <x:c r="AL40" s="30" t="str"/>
      <x:c r="AM40" s="30" t="str"/>
      <x:c r="AN40" s="34" t="n">
        <x:v>46220</x:v>
      </x:c>
    </x:row>
    <x:row r="41" ht="44" customHeight="1">
      <x:c r="A41" s="30" t="str">
        <x:v>API联系方式已获取</x:v>
      </x:c>
      <x:c r="B41" s="30" t="str">
        <x:v>常规-全球</x:v>
      </x:c>
      <x:c r="C41" s="30" t="str">
        <x:v>masking film</x:v>
      </x:c>
      <x:c r="D41" s="31" t="str">
        <x:v>381348</x:v>
      </x:c>
      <x:c r="E41" s="30" t="str">
        <x:v>speciality polyfilms india pvt.ltd.</x:v>
      </x:c>
      <x:c r="F41" s="30" t="str">
        <x:v>IN</x:v>
      </x:c>
      <x:c r="G41" s="30" t="str">
        <x:f>IF(V41&lt;&gt;"",V41,U41)</x:f>
        <x:v>commercial@specialty-films.com</x:v>
      </x:c>
      <x:c r="H41" s="30" t="str">
        <x:f>IF(V41&lt;&gt;"","官网已验证",IF(ISNUMBER(SEARCH(":1",AB41)),"API已验证","未验证"))</x:f>
        <x:v>API已验证</x:v>
      </x:c>
      <x:c r="I41" s="30" t="str">
        <x:f>IF(X41&lt;&gt;"",X41,W41)</x:f>
      </x:c>
      <x:c r="J41" s="30" t="str"/>
      <x:c r="K41" s="35" t="n">
        <x:f>ROUND((IF(G41&lt;&gt;"",40,0)+IF(I41&lt;&gt;"",25,0)+IF(J41&lt;&gt;"",20,0)+IF(Z41&lt;&gt;"",15,0))/100,2)</x:f>
        <x:v>0.4</x:v>
      </x:c>
      <x:c r="L41" s="30" t="str">
        <x:v>待联系</x:v>
      </x:c>
      <x:c r="M41" s="30" t="str"/>
      <x:c r="N41" s="30" t="str">
        <x:v>plot no.f-89 &amp; f - 102, m.i.d.c. area, waluj, aurangabad, maharashtra,pin-431136</x:v>
      </x:c>
      <x:c r="O41" s="30" t="str"/>
      <x:c r="P41" s="30" t="str">
        <x:v>food grade,r 12,slide,polyisobutylene,polyolefin,offset,atta,bio,propylene copolymer,type load cell,dos,bat,hopper,synthetic rubber,g lock,conveyor,cover,manua,elite,polyethylen</x:v>
      </x:c>
      <x:c r="Q41" s="32" t="n">
        <x:v>6</x:v>
      </x:c>
      <x:c r="R41" s="32" t="n">
        <x:v>803</x:v>
      </x:c>
      <x:c r="S41" s="33" t="n">
        <x:v>0.0075</x:v>
      </x:c>
      <x:c r="T41" s="34" t="n">
        <x:v>45916.666666666664</x:v>
      </x:c>
      <x:c r="U41" s="30" t="str">
        <x:v>commercial@specialty-films.com</x:v>
      </x:c>
      <x:c r="V41" s="30" t="str"/>
      <x:c r="W41" s="30" t="str"/>
      <x:c r="X41" s="30" t="str"/>
      <x:c r="Y41" s="30" t="str"/>
      <x:c r="Z41" s="30" t="str"/>
      <x:c r="AA41" s="30" t="str"/>
      <x:c r="AB41" s="30" t="str">
        <x:v>commercial@specialty-films.com:1</x:v>
      </x:c>
      <x:c r="AC41" s="30" t="str"/>
      <x:c r="AD41" s="30" t="str">
        <x:v>print; masking film</x:v>
      </x:c>
      <x:c r="AE41" s="30" t="str">
        <x:v>MASKING FILM-PRINTED</x:v>
      </x:c>
      <x:c r="AF41" s="30" t="str"/>
      <x:c r="AG41" s="30" t="str"/>
      <x:c r="AH41" s="30" t="str"/>
      <x:c r="AI41" s="30" t="str">
        <x:v>masking film</x:v>
      </x:c>
      <x:c r="AJ41" s="30" t="str">
        <x:v>masking-film-buyers-exact-search</x:v>
      </x:c>
      <x:c r="AK41" s="30" t="str">
        <x:v>UpKuajing customs company contact API</x:v>
      </x:c>
      <x:c r="AL41" s="30" t="str"/>
      <x:c r="AM41" s="30" t="str"/>
      <x:c r="AN41" s="34" t="n">
        <x:v>46220</x:v>
      </x:c>
    </x:row>
  </x:sheetData>
  <x:mergeCells>
    <x:mergeCell ref="A1:N1"/>
    <x:mergeCell ref="A2:N2"/>
    <x:mergeCell ref="A3:D3"/>
    <x:mergeCell ref="E3:H3"/>
    <x:mergeCell ref="I3:L3"/>
    <x:mergeCell ref="M3:P3"/>
    <x:mergeCell ref="Q3:T3"/>
    <x:mergeCell ref="U3:X3"/>
    <x:mergeCell ref="Y3:AB3"/>
    <x:mergeCell ref="AC3:AF3"/>
    <x:mergeCell ref="AG3:AN3"/>
    <x:mergeCell ref="A4:AN4"/>
  </x:mergeCells>
  <x:conditionalFormatting sqref="B7:B41">
    <x:cfRule type="containsText" dxfId="0" priority="1" operator="containsText" text="高-欧美"/>
  </x:conditionalFormatting>
  <x:conditionalFormatting sqref="H7:H41">
    <x:cfRule type="containsText" dxfId="1" priority="2" operator="containsText" text="已验证"/>
    <x:cfRule type="containsText" dxfId="2" priority="3" operator="containsText" text="未验证"/>
  </x:conditionalFormatting>
  <x:conditionalFormatting sqref="K7:K41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1">
    <x:dataValidation type="list" sqref="L7:L41">
      <x:formula1>"待联系,已联系,已回复,有意向,无意向,暂停"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c0e7ec7b074538"/>
  </x:tableParts>
</x:worksheet>
</file>