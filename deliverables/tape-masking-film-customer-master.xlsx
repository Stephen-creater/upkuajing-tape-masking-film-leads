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a4e5f1adcc43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总表" sheetId="1" r:id="R4084ce4eaaa84da2"/>
    <x:sheet xmlns:r="http://schemas.openxmlformats.org/officeDocument/2006/relationships" name="成本与流程" sheetId="2" r:id="Rea4630f74ace4e67"/>
    <x:sheet xmlns:r="http://schemas.openxmlformats.org/officeDocument/2006/relationships" name="字段说明" sheetId="3" r:id="Reab84731363d4e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#,##0"/>
    <x:numFmt numFmtId="202" formatCode="0.0%"/>
    <x:numFmt numFmtId="203" formatCode="yyyy-mm-dd"/>
    <x:numFmt numFmtId="204" formatCode="0%"/>
    <x:numFmt numFmtId="205" formatCode="&quot;¥&quot;#,##0.00"/>
  </x:numFmts>
  <x:fonts count="9">
    <x:font>
      <x:sz val="11"/>
      <x:name val="Carlito"/>
    </x:font>
    <x:font>
      <x:b/>
      <x:sz val="18"/>
      <x:color rgb="FFFFFFFF"/>
      <x:name val="Carlito"/>
    </x:font>
    <x:font>
      <x:sz val="10"/>
      <x:color rgb="FF1F1F1F"/>
      <x:name val="Carlito"/>
    </x:font>
    <x:font>
      <x:b/>
      <x:sz val="11"/>
      <x:color rgb="FF17365D"/>
      <x:name val="Carlito"/>
    </x:font>
    <x:font>
      <x:i/>
      <x:sz val="9"/>
      <x:color rgb="FF595959"/>
      <x:name val="Carlito"/>
    </x:font>
    <x:font>
      <x:b/>
      <x:sz val="10"/>
      <x:color rgb="FFFFFFFF"/>
      <x:name val="Carlito"/>
    </x:font>
    <x:font>
      <x:sz val="9"/>
      <x:color rgb="FF1F1F1F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E8EEF8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F2F2F2"/>
      </x:patternFill>
    </x:fill>
    <x:fill>
      <x:patternFill patternType="solid">
        <x:fgColor rgb="FF4472C4"/>
      </x:patternFill>
    </x:fill>
  </x:fills>
  <x:borders count="1">
    <x:border/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3" borderId="0" xfId="0" applyNumberFormat="1" applyFont="1" applyFill="1" applyBorder="1"/>
    <x:xf numFmtId="0" fontId="3" fillId="4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left" wrapText="1"/>
    </x:xf>
    <x:xf numFmtId="0" fontId="4" fillId="7" borderId="0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horizont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 wrapText="1"/>
    </x:xf>
    <x:xf numFmtId="200" fontId="6" fillId="0" borderId="0" xfId="0" applyNumberFormat="1" applyFont="1" applyFill="1" applyBorder="1" applyAlignment="1">
      <x:alignment vertical="top" wrapText="1"/>
    </x:xf>
    <x:xf numFmtId="201" fontId="6" fillId="0" borderId="0" xfId="0" applyNumberFormat="1" applyFont="1" applyFill="1" applyBorder="1" applyAlignment="1">
      <x:alignment vertical="top" wrapText="1"/>
    </x:xf>
    <x:xf numFmtId="202" fontId="6" fillId="0" borderId="0" xfId="0" applyNumberFormat="1" applyFont="1" applyFill="1" applyBorder="1" applyAlignment="1">
      <x:alignment vertical="top" wrapText="1"/>
    </x:xf>
    <x:xf numFmtId="203" fontId="6" fillId="0" borderId="0" xfId="0" applyNumberFormat="1" applyFont="1" applyFill="1" applyBorder="1" applyAlignment="1">
      <x:alignment vertical="top" wrapText="1"/>
    </x:xf>
    <x:xf numFmtId="204" fontId="6" fillId="0" borderId="0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horizontal="right" wrapText="1"/>
    </x:xf>
    <x:xf numFmtId="205" fontId="0" fillId="0" borderId="0" xfId="0" applyNumberFormat="1" applyFont="1" applyFill="1" applyBorder="1" applyAlignment="1">
      <x:alignment horizontal="right" wrapText="1"/>
    </x:xf>
    <x:xf numFmtId="0" fontId="0" fillId="0" borderId="0" xfId="0" applyNumberFormat="1" applyFont="1" applyFill="1" applyBorder="1" applyAlignment="1">
      <x:alignment horizontal="right" wrapText="1"/>
    </x:xf>
    <x:xf numFmtId="0" fontId="8" fillId="8" borderId="0" xfId="0" applyNumberFormat="1" applyFont="1" applyFill="1" applyBorder="1" applyAlignment="1">
      <x:alignment horizontal="right" wrapText="1"/>
    </x:xf>
  </x:cellXfs>
  <x:cellStyles count="1">
    <x:cellStyle name="Normal" xfId="0"/>
  </x:cellStyles>
  <x:dxfs count="3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aa5cb7406a4e0e" /><Relationship Type="http://schemas.openxmlformats.org/officeDocument/2006/relationships/theme" Target="/xl/theme/theme1.xml" Id="Rbcac3a55b1b54265" /><Relationship Type="http://schemas.openxmlformats.org/officeDocument/2006/relationships/sharedStrings" Target="/xl/sharedStrings.xml" Id="R36269f1254fe4272" /><Relationship Type="http://schemas.openxmlformats.org/officeDocument/2006/relationships/worksheet" Target="/xl/worksheets/sheet1.xml" Id="R4084ce4eaaa84da2" /><Relationship Type="http://schemas.openxmlformats.org/officeDocument/2006/relationships/worksheet" Target="/xl/worksheets/sheet2.xml" Id="Rea4630f74ace4e67" /><Relationship Type="http://schemas.openxmlformats.org/officeDocument/2006/relationships/worksheet" Target="/xl/worksheets/sheet3.xml" Id="Reab84731363d4e89" /></Relationships>
</file>

<file path=xl/tables/table1.xml><?xml version="1.0" encoding="utf-8"?>
<x:table xmlns:x="http://schemas.openxmlformats.org/spreadsheetml/2006/main" id="1" name="CustomerMasterTable" displayName="CustomerMasterTable" ref="A6:AO56" headerRowCount="1" totalsRowCount="0" totalsRowShown="0">
  <x:autoFilter ref="A6:AO56"/>
  <x:tableColumns count="41">
    <x:tableColumn id="1" name="研究状态"/>
    <x:tableColumn id="2" name="市场优先级"/>
    <x:tableColumn id="3" name="产品品类（中文）"/>
    <x:tableColumn id="4" name="公司ID"/>
    <x:tableColumn id="5" name="公司名称"/>
    <x:tableColumn id="6" name="国家/地区（中文）"/>
    <x:tableColumn id="7" name="首选邮箱"/>
    <x:tableColumn id="8" name="邮箱可用状态"/>
    <x:tableColumn id="9" name="首选电话"/>
    <x:tableColumn id="10" name="官网"/>
    <x:tableColumn id="11" name="联系完整度"/>
    <x:tableColumn id="12" name="跟进状态"/>
    <x:tableColumn id="13" name="负责人"/>
    <x:tableColumn id="14" name="API地址（原文）"/>
    <x:tableColumn id="15" name="官网核验地址（原文）"/>
    <x:tableColumn id="16" name="经营范围（原文）"/>
    <x:tableColumn id="17" name="匹配贸易次数"/>
    <x:tableColumn id="18" name="贸易总次数"/>
    <x:tableColumn id="19" name="匹配占比"/>
    <x:tableColumn id="20" name="最近贸易日期"/>
    <x:tableColumn id="21" name="API邮箱"/>
    <x:tableColumn id="22" name="官网补充邮箱"/>
    <x:tableColumn id="23" name="API电话"/>
    <x:tableColumn id="24" name="官网补充电话"/>
    <x:tableColumn id="25" name="电话验证详情"/>
    <x:tableColumn id="26" name="WhatsApp"/>
    <x:tableColumn id="27" name="社交媒体"/>
    <x:tableColumn id="28" name="官网联系渠道"/>
    <x:tableColumn id="29" name="邮箱验证详情"/>
    <x:tableColumn id="30" name="产品名称"/>
    <x:tableColumn id="31" name="产品标签"/>
    <x:tableColumn id="32" name="报关品名/命中证据（原文）"/>
    <x:tableColumn id="33" name="产品别名"/>
    <x:tableColumn id="34" name="上游词"/>
    <x:tableColumn id="35" name="下游词"/>
    <x:tableColumn id="36" name="搜索词（中文）"/>
    <x:tableColumn id="37" name="搜索原始来源"/>
    <x:tableColumn id="38" name="API联系方式来源"/>
    <x:tableColumn id="39" name="官网核验来源"/>
    <x:tableColumn id="40" name="官网核验说明"/>
    <x:tableColumn id="41" name="最后核验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fe7083cf5940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4" hidden="0" customWidth="1"/>
    <x:col min="3" max="3" width="18" hidden="0" customWidth="1"/>
    <x:col min="4" max="4" width="12" hidden="0" customWidth="1"/>
    <x:col min="5" max="5" width="34" hidden="0" customWidth="1"/>
    <x:col min="6" max="6" width="11" hidden="0" customWidth="1"/>
    <x:col min="7" max="7" width="32" hidden="0" customWidth="1"/>
    <x:col min="8" max="8" width="15" hidden="0" customWidth="1"/>
    <x:col min="9" max="9" width="24" hidden="0" customWidth="1"/>
    <x:col min="10" max="10" width="28" hidden="0" customWidth="1"/>
    <x:col min="11" max="11" width="13" hidden="0" customWidth="1"/>
    <x:col min="12" max="12" width="12" hidden="0" customWidth="1"/>
    <x:col min="13" max="13" width="12" hidden="0" customWidth="1"/>
    <x:col min="14" max="14" width="30" hidden="0" customWidth="1"/>
    <x:col min="15" max="15" width="30" hidden="0" customWidth="1"/>
    <x:col min="16" max="16" width="38" hidden="0" customWidth="1"/>
    <x:col min="17" max="17" width="13" hidden="0" customWidth="1"/>
    <x:col min="18" max="18" width="13" hidden="0" customWidth="1"/>
    <x:col min="19" max="19" width="12" hidden="0" customWidth="1"/>
    <x:col min="20" max="20" width="14" hidden="0" customWidth="1"/>
    <x:col min="21" max="21" width="32" hidden="0" customWidth="1"/>
    <x:col min="22" max="22" width="35" hidden="0" customWidth="1"/>
    <x:col min="23" max="23" width="24" hidden="0" customWidth="1"/>
    <x:col min="24" max="24" width="24" hidden="0" customWidth="1"/>
    <x:col min="25" max="25" width="42" hidden="0" customWidth="1"/>
    <x:col min="26" max="26" width="22" hidden="0" customWidth="1"/>
    <x:col min="27" max="27" width="32" hidden="0" customWidth="1"/>
    <x:col min="28" max="28" width="25" hidden="0" customWidth="1"/>
    <x:col min="29" max="29" width="38" hidden="0" customWidth="1"/>
    <x:col min="30" max="30" width="30" hidden="0" customWidth="1"/>
    <x:col min="31" max="31" width="28" hidden="0" customWidth="1"/>
    <x:col min="32" max="32" width="55" hidden="0" customWidth="1"/>
    <x:col min="33" max="33" width="35" hidden="0" customWidth="1"/>
    <x:col min="34" max="34" width="28" hidden="0" customWidth="1"/>
    <x:col min="35" max="35" width="28" hidden="0" customWidth="1"/>
    <x:col min="36" max="36" width="20" hidden="0" customWidth="1"/>
    <x:col min="37" max="37" width="32" hidden="0" customWidth="1"/>
    <x:col min="38" max="38" width="34" hidden="0" customWidth="1"/>
    <x:col min="39" max="39" width="42" hidden="0" customWidth="1"/>
    <x:col min="40" max="40" width="50" hidden="0" customWidth="1"/>
    <x:col min="41" max="41" width="14" hidden="0" customWidth="1"/>
  </x:cols>
  <x:sheetData>
    <x:row r="1" ht="32" customHeight="1">
      <x:c r="A1" s="7" t="str">
        <x:v>胶带与遮蔽膜全球客户总表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  <x:c r="AA1" s="7"/>
      <x:c r="AB1" s="7"/>
      <x:c r="AC1" s="7"/>
      <x:c r="AD1" s="7"/>
      <x:c r="AE1" s="7"/>
      <x:c r="AF1" s="7"/>
      <x:c r="AG1" s="7"/>
      <x:c r="AH1" s="7"/>
      <x:c r="AI1" s="7"/>
      <x:c r="AJ1" s="7"/>
      <x:c r="AK1" s="7"/>
      <x:c r="AL1" s="7"/>
      <x:c r="AM1" s="7"/>
      <x:c r="AN1" s="7"/>
      <x:c r="AO1" s="7"/>
    </x:row>
    <x:row r="2" ht="24" customHeight="1">
      <x:c r="A2" s="11" t="str">
        <x:v>一行一家公司 · 全球覆盖、欧美优先 · 来源：跨境魔方 OpenAPI + 官方网站核验 · 更新：2026-07-17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</x:row>
    <x:row r="3" ht="27" customHeight="1">
      <x:c r="A3" s="15" t="str">
        <x:v>公司总数</x:v>
      </x:c>
      <x:c r="B3" s="15"/>
      <x:c r="C3" s="15"/>
      <x:c r="D3" s="15"/>
      <x:c r="E3" s="16" t="n">
        <x:f>COUNTA(E7:E56)</x:f>
        <x:v>50</x:v>
      </x:c>
      <x:c r="F3" s="16"/>
      <x:c r="G3" s="16"/>
      <x:c r="H3" s="16"/>
      <x:c r="I3" s="15" t="str">
        <x:v>有效联系方式公司</x:v>
      </x:c>
      <x:c r="J3" s="15"/>
      <x:c r="K3" s="15"/>
      <x:c r="L3" s="15"/>
      <x:c r="M3" s="16" t="n">
        <x:f>'成本与流程'!B5</x:f>
        <x:v>50</x:v>
      </x:c>
      <x:c r="N3" s="16"/>
      <x:c r="O3" s="16"/>
      <x:c r="P3" s="16"/>
      <x:c r="Q3" s="15" t="str">
        <x:v>有效邮箱公司</x:v>
      </x:c>
      <x:c r="R3" s="15"/>
      <x:c r="S3" s="15"/>
      <x:c r="T3" s="15"/>
      <x:c r="U3" s="16" t="n">
        <x:f>COUNTIF(H7:H56,"已验证有效")</x:f>
        <x:v>39</x:v>
      </x:c>
      <x:c r="V3" s="16"/>
      <x:c r="W3" s="16"/>
      <x:c r="X3" s="16"/>
      <x:c r="Y3" s="15" t="str">
        <x:v>有效电话公司</x:v>
      </x:c>
      <x:c r="Z3" s="15"/>
      <x:c r="AA3" s="15"/>
      <x:c r="AB3" s="15"/>
      <x:c r="AC3" s="16" t="n">
        <x:f>COUNTIF(Y7:Y56,"*状态1*")</x:f>
        <x:v>0</x:v>
      </x:c>
      <x:c r="AD3" s="16"/>
      <x:c r="AE3" s="16"/>
      <x:c r="AF3" s="16"/>
      <x:c r="AG3" s="17" t="str">
        <x:v>OpenAPI 累计费用：¥105.10 / 上限 ¥200.00</x:v>
      </x:c>
      <x:c r="AH3" s="17"/>
      <x:c r="AI3" s="17"/>
      <x:c r="AJ3" s="17"/>
      <x:c r="AK3" s="17"/>
      <x:c r="AL3" s="17"/>
      <x:c r="AM3" s="17"/>
      <x:c r="AN3" s="17"/>
      <x:c r="AO3" s="17"/>
    </x:row>
    <x:row r="4" ht="32" customHeight="1">
      <x:c r="A4" s="22" t="str">
        <x:v>使用：先筛选“市场优先级”和“邮箱可用状态”。邮箱 1=有效、2=无效、3=不确定、0=接口已调用但未能检测；电话详情为 状态/类型/WhatsApp。原始证据见 data/raw/。</x:v>
      </x:c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22"/>
      <x:c r="R4" s="22"/>
      <x:c r="S4" s="22"/>
      <x:c r="T4" s="22"/>
      <x:c r="U4" s="22"/>
      <x:c r="V4" s="22"/>
      <x:c r="W4" s="22"/>
      <x:c r="X4" s="22"/>
      <x:c r="Y4" s="22"/>
      <x:c r="Z4" s="22"/>
      <x:c r="AA4" s="22"/>
      <x:c r="AB4" s="22"/>
      <x:c r="AC4" s="22"/>
      <x:c r="AD4" s="22"/>
      <x:c r="AE4" s="22"/>
      <x:c r="AF4" s="22"/>
      <x:c r="AG4" s="22"/>
      <x:c r="AH4" s="22"/>
      <x:c r="AI4" s="22"/>
      <x:c r="AJ4" s="22"/>
      <x:c r="AK4" s="22"/>
      <x:c r="AL4" s="22"/>
      <x:c r="AM4" s="22"/>
      <x:c r="AN4" s="22"/>
      <x:c r="AO4" s="22"/>
    </x:row>
    <x:row r="6" ht="36" customHeight="1">
      <x:c r="A6" s="27" t="str">
        <x:v>研究状态</x:v>
      </x:c>
      <x:c r="B6" s="27" t="str">
        <x:v>市场优先级</x:v>
      </x:c>
      <x:c r="C6" s="27" t="str">
        <x:v>产品品类（中文）</x:v>
      </x:c>
      <x:c r="D6" s="27" t="str">
        <x:v>公司ID</x:v>
      </x:c>
      <x:c r="E6" s="27" t="str">
        <x:v>公司名称</x:v>
      </x:c>
      <x:c r="F6" s="27" t="str">
        <x:v>国家/地区（中文）</x:v>
      </x:c>
      <x:c r="G6" s="27" t="str">
        <x:v>首选邮箱</x:v>
      </x:c>
      <x:c r="H6" s="27" t="str">
        <x:v>邮箱可用状态</x:v>
      </x:c>
      <x:c r="I6" s="27" t="str">
        <x:v>首选电话</x:v>
      </x:c>
      <x:c r="J6" s="27" t="str">
        <x:v>官网</x:v>
      </x:c>
      <x:c r="K6" s="27" t="str">
        <x:v>联系完整度</x:v>
      </x:c>
      <x:c r="L6" s="27" t="str">
        <x:v>跟进状态</x:v>
      </x:c>
      <x:c r="M6" s="27" t="str">
        <x:v>负责人</x:v>
      </x:c>
      <x:c r="N6" s="27" t="str">
        <x:v>API地址（原文）</x:v>
      </x:c>
      <x:c r="O6" s="27" t="str">
        <x:v>官网核验地址（原文）</x:v>
      </x:c>
      <x:c r="P6" s="27" t="str">
        <x:v>经营范围（原文）</x:v>
      </x:c>
      <x:c r="Q6" s="27" t="str">
        <x:v>匹配贸易次数</x:v>
      </x:c>
      <x:c r="R6" s="27" t="str">
        <x:v>贸易总次数</x:v>
      </x:c>
      <x:c r="S6" s="27" t="str">
        <x:v>匹配占比</x:v>
      </x:c>
      <x:c r="T6" s="27" t="str">
        <x:v>最近贸易日期</x:v>
      </x:c>
      <x:c r="U6" s="27" t="str">
        <x:v>API邮箱</x:v>
      </x:c>
      <x:c r="V6" s="27" t="str">
        <x:v>官网补充邮箱</x:v>
      </x:c>
      <x:c r="W6" s="27" t="str">
        <x:v>API电话</x:v>
      </x:c>
      <x:c r="X6" s="27" t="str">
        <x:v>官网补充电话</x:v>
      </x:c>
      <x:c r="Y6" s="27" t="str">
        <x:v>电话验证详情</x:v>
      </x:c>
      <x:c r="Z6" s="27" t="str">
        <x:v>WhatsApp</x:v>
      </x:c>
      <x:c r="AA6" s="27" t="str">
        <x:v>社交媒体</x:v>
      </x:c>
      <x:c r="AB6" s="27" t="str">
        <x:v>官网联系渠道</x:v>
      </x:c>
      <x:c r="AC6" s="27" t="str">
        <x:v>邮箱验证详情</x:v>
      </x:c>
      <x:c r="AD6" s="27" t="str">
        <x:v>产品名称</x:v>
      </x:c>
      <x:c r="AE6" s="27" t="str">
        <x:v>产品标签</x:v>
      </x:c>
      <x:c r="AF6" s="27" t="str">
        <x:v>报关品名/命中证据（原文）</x:v>
      </x:c>
      <x:c r="AG6" s="27" t="str">
        <x:v>产品别名</x:v>
      </x:c>
      <x:c r="AH6" s="27" t="str">
        <x:v>上游词</x:v>
      </x:c>
      <x:c r="AI6" s="27" t="str">
        <x:v>下游词</x:v>
      </x:c>
      <x:c r="AJ6" s="27" t="str">
        <x:v>搜索词（中文）</x:v>
      </x:c>
      <x:c r="AK6" s="27" t="str">
        <x:v>搜索原始来源</x:v>
      </x:c>
      <x:c r="AL6" s="27" t="str">
        <x:v>API联系方式来源</x:v>
      </x:c>
      <x:c r="AM6" s="27" t="str">
        <x:v>官网核验来源</x:v>
      </x:c>
      <x:c r="AN6" s="27" t="str">
        <x:v>官网核验说明</x:v>
      </x:c>
      <x:c r="AO6" s="27" t="str">
        <x:v>最后核验日期</x:v>
      </x:c>
    </x:row>
    <x:row r="7" ht="44" customHeight="1">
      <x:c r="A7" s="30" t="str">
        <x:v>API联系方式已获取</x:v>
      </x:c>
      <x:c r="B7" s="30" t="str">
        <x:v>高-欧美</x:v>
      </x:c>
      <x:c r="C7" s="30" t="str">
        <x:v>遮蔽膜</x:v>
      </x:c>
      <x:c r="D7" s="31" t="str">
        <x:v>71462461</x:v>
      </x:c>
      <x:c r="E7" s="30" t="str">
        <x:v>POLI-FILM AMERICA INC.</x:v>
      </x:c>
      <x:c r="F7" s="30" t="str">
        <x:v>英国</x:v>
      </x:c>
      <x:c r="G7" s="30" t="str">
        <x:v>echrisman@polifilm.us</x:v>
      </x:c>
      <x:c r="H7" s="30" t="str">
        <x:f>IF(ISNUMBER(SEARCH(":1",AC7)),"已验证有效",IF(ISNUMBER(SEARCH(":3",AC7)),"验证不确定",IF(ISNUMBER(SEARCH(":0",AC7)),"接口未能检测",IF(ISNUMBER(SEARCH(":2",AC7)),"判定无效",IF(V7&lt;&gt;"","官网已确认-未验证","无邮箱")))))</x:f>
        <x:v>已验证有效</x:v>
      </x:c>
      <x:c r="I7" s="30" t="str"/>
      <x:c r="J7" s="30" t="str"/>
      <x:c r="K7" s="35" t="n">
        <x:f>ROUND((IF(H7="已验证有效",40,IF(V7&lt;&gt;"",20,0))+IF(ISNUMBER(SEARCH("状态1",Y7)),25,0)+IF(J7&lt;&gt;"",20,0)+IF(AA7&lt;&gt;"",15,0))/100,2)</x:f>
        <x:v>0.4</x:v>
      </x:c>
      <x:c r="L7" s="30" t="str">
        <x:v>待联系</x:v>
      </x:c>
      <x:c r="M7" s="30" t="str"/>
      <x:c r="N7" s="30" t="str">
        <x:v>Hampshire, Illinois</x:v>
      </x:c>
      <x:c r="O7" s="30" t="str"/>
      <x:c r="P7" s="30" t="str"/>
      <x:c r="Q7" s="32" t="n">
        <x:v>153</x:v>
      </x:c>
      <x:c r="R7" s="32" t="n">
        <x:v>839</x:v>
      </x:c>
      <x:c r="S7" s="33" t="n">
        <x:v>0.18239999999999998</x:v>
      </x:c>
      <x:c r="T7" s="34" t="n">
        <x:v>46211.666666666664</x:v>
      </x:c>
      <x:c r="U7" s="30" t="str">
        <x:v>echrisman@polifilm.us</x:v>
      </x:c>
      <x:c r="V7" s="30" t="str"/>
      <x:c r="W7" s="30" t="str"/>
      <x:c r="X7" s="30" t="str"/>
      <x:c r="Y7" s="30" t="str"/>
      <x:c r="Z7" s="30" t="str"/>
      <x:c r="AA7" s="30" t="str"/>
      <x:c r="AB7" s="30" t="str"/>
      <x:c r="AC7" s="30" t="str">
        <x:v>echrisman@polifilm.us:1</x:v>
      </x:c>
      <x:c r="AD7" s="30" t="str"/>
      <x:c r="AE7" s="30" t="str"/>
      <x:c r="AF7" s="30" t="str">
        <x:v>168 ROLLS OF POLYETHYLENE MASKING FILM (HS#39 20.10)P ACKED ONTO 28 PALLETS REF #103354 IR S NUMBER:36-3437 757</x:v>
      </x:c>
      <x:c r="AG7" s="30" t="str"/>
      <x:c r="AH7" s="30" t="str"/>
      <x:c r="AI7" s="30" t="str"/>
      <x:c r="AJ7" s="30" t="str">
        <x:v>遮蔽膜</x:v>
      </x:c>
      <x:c r="AK7" s="30" t="str">
        <x:v>masking-film-buyers-exact-search</x:v>
      </x:c>
      <x:c r="AL7" s="30" t="str">
        <x:v>UpKuajing customs company contact API</x:v>
      </x:c>
      <x:c r="AM7" s="30" t="str"/>
      <x:c r="AN7" s="30" t="str"/>
      <x:c r="AO7" s="34" t="n">
        <x:v>46220</x:v>
      </x:c>
    </x:row>
    <x:row r="8" ht="44" customHeight="1">
      <x:c r="A8" s="30" t="str">
        <x:v>API联系方式已获取</x:v>
      </x:c>
      <x:c r="B8" s="30" t="str">
        <x:v>高-欧美</x:v>
      </x:c>
      <x:c r="C8" s="30" t="str">
        <x:v>遮蔽膜</x:v>
      </x:c>
      <x:c r="D8" s="31" t="str">
        <x:v>13957403</x:v>
      </x:c>
      <x:c r="E8" s="30" t="str">
        <x:v>poli film mexico</x:v>
      </x:c>
      <x:c r="F8" s="30" t="str">
        <x:v>美国</x:v>
      </x:c>
      <x:c r="G8" s="30" t="str">
        <x:v>restrada@poli-film.net</x:v>
      </x:c>
      <x:c r="H8" s="30" t="str">
        <x:f>IF(ISNUMBER(SEARCH(":1",AC8)),"已验证有效",IF(ISNUMBER(SEARCH(":3",AC8)),"验证不确定",IF(ISNUMBER(SEARCH(":0",AC8)),"接口未能检测",IF(ISNUMBER(SEARCH(":2",AC8)),"判定无效",IF(V8&lt;&gt;"","官网已确认-未验证","无邮箱")))))</x:f>
        <x:v>已验证有效</x:v>
      </x:c>
      <x:c r="I8" s="30" t="str"/>
      <x:c r="J8" s="30" t="str">
        <x:v>http://www.polifilmamerica.com/</x:v>
      </x:c>
      <x:c r="K8" s="35" t="n">
        <x:f>ROUND((IF(H8="已验证有效",40,IF(V8&lt;&gt;"",20,0))+IF(ISNUMBER(SEARCH("状态1",Y8)),25,0)+IF(J8&lt;&gt;"",20,0)+IF(AA8&lt;&gt;"",15,0))/100,2)</x:f>
        <x:v>0.6</x:v>
      </x:c>
      <x:c r="L8" s="30" t="str">
        <x:v>待联系</x:v>
      </x:c>
      <x:c r="M8" s="30" t="str"/>
      <x:c r="N8" s="30" t="str">
        <x:v>carretera miguel alemar km 14.2 bodega 10 apodaca, nl 66630</x:v>
      </x:c>
      <x:c r="O8" s="30" t="str"/>
      <x:c r="P8" s="30" t="str">
        <x:v>cat,ra c,pole,nido,rolls,lye,ys,altamira,d 300,alta,printed film,shipping mark,tin,polyethylene,white po,umber,ion,polyethylene film,roof,adhesivo</x:v>
      </x:c>
      <x:c r="Q8" s="32" t="n">
        <x:v>17</x:v>
      </x:c>
      <x:c r="R8" s="32" t="n">
        <x:v>1116</x:v>
      </x:c>
      <x:c r="S8" s="33" t="n">
        <x:v>0.0152</x:v>
      </x:c>
      <x:c r="T8" s="34" t="n">
        <x:v>46140.666666666664</x:v>
      </x:c>
      <x:c r="U8" s="30" t="str">
        <x:v>restrada@poli-film.net</x:v>
      </x:c>
      <x:c r="V8" s="30" t="str"/>
      <x:c r="W8" s="30" t="str"/>
      <x:c r="X8" s="30" t="str"/>
      <x:c r="Y8" s="30" t="str"/>
      <x:c r="Z8" s="30" t="str"/>
      <x:c r="AA8" s="30" t="str"/>
      <x:c r="AB8" s="30" t="str"/>
      <x:c r="AC8" s="30" t="str">
        <x:v>restrada@poli-film.net:1</x:v>
      </x:c>
      <x:c r="AD8" s="30" t="str"/>
      <x:c r="AE8" s="30" t="str">
        <x:v>tin；聚乙烯；遮蔽膜；聚乙烯；po le；cat；ion；卷材</x:v>
      </x:c>
      <x:c r="AF8" s="30" t="str">
        <x:v>POLYETHYLENE MASKING FILM - ROLLS OF POLY ETHYLENE MASKING FILM(..)PACK ED ONTO PALLETS REF# ,W-- PO #PO LEG// =CONSIGNEE &amp; NOTIFY CONTINUE: TEL:+- TAX IDEN TIFICATION NUMBE R:PME--T&lt;br/&gt;</x:v>
      </x:c>
      <x:c r="AG8" s="30" t="str"/>
      <x:c r="AH8" s="30" t="str"/>
      <x:c r="AI8" s="30" t="str"/>
      <x:c r="AJ8" s="30" t="str">
        <x:v>遮蔽膜</x:v>
      </x:c>
      <x:c r="AK8" s="30" t="str">
        <x:v>masking-film-buyers-exact-search</x:v>
      </x:c>
      <x:c r="AL8" s="30" t="str">
        <x:v>UpKuajing customs company contact API</x:v>
      </x:c>
      <x:c r="AM8" s="30" t="str"/>
      <x:c r="AN8" s="30" t="str"/>
      <x:c r="AO8" s="34" t="n">
        <x:v>46220</x:v>
      </x:c>
    </x:row>
    <x:row r="9" ht="44" customHeight="1">
      <x:c r="A9" s="30" t="str">
        <x:v>官网已核验-仅表单与电话</x:v>
      </x:c>
      <x:c r="B9" s="30" t="str">
        <x:v>高-欧美</x:v>
      </x:c>
      <x:c r="C9" s="30" t="str">
        <x:v>遮蔽膜</x:v>
      </x:c>
      <x:c r="D9" s="31" t="str">
        <x:v>229078</x:v>
      </x:c>
      <x:c r="E9" s="30" t="str">
        <x:v>pacoa</x:v>
      </x:c>
      <x:c r="F9" s="30" t="str">
        <x:v>美国</x:v>
      </x:c>
      <x:c r="G9" s="30" t="str">
        <x:v>jtaub@pacoa.com</x:v>
      </x:c>
      <x:c r="H9" s="30" t="str">
        <x:f>IF(ISNUMBER(SEARCH(":1",AC9)),"已验证有效",IF(ISNUMBER(SEARCH(":3",AC9)),"验证不确定",IF(ISNUMBER(SEARCH(":0",AC9)),"接口未能检测",IF(ISNUMBER(SEARCH(":2",AC9)),"判定无效",IF(V9&lt;&gt;"","官网已确认-未验证","无邮箱")))))</x:f>
        <x:v>验证不确定</x:v>
      </x:c>
      <x:c r="I9" s="30" t="str">
        <x:v>516.284.3000</x:v>
      </x:c>
      <x:c r="J9" s="30" t="str">
        <x:v>www.pacoa.com</x:v>
      </x:c>
      <x:c r="K9" s="35" t="n">
        <x:f>ROUND((IF(H9="已验证有效",40,IF(V9&lt;&gt;"",20,0))+IF(ISNUMBER(SEARCH("状态1",Y9)),25,0)+IF(J9&lt;&gt;"",20,0)+IF(AA9&lt;&gt;"",15,0))/100,2)</x:f>
        <x:v>0.6</x:v>
      </x:c>
      <x:c r="L9" s="30" t="str">
        <x:v>待联系</x:v>
      </x:c>
      <x:c r="M9" s="30" t="str"/>
      <x:c r="N9" s="30" t="str">
        <x:v>7 harbor park drive port washington, new york, 11050</x:v>
      </x:c>
      <x:c r="O9" s="30" t="str">
        <x:v>7 HARBOR PARK DR, PORT WASHINGTON, NY 11050, USA</x:v>
      </x:c>
      <x:c r="P9" s="30" t="str">
        <x:v>handtools,caulking gun,trap,cable ties,industrial plastic,clamp,paint roller,cod,ion,hammer,hawk,ratchet tie down,paint grid,trowel aluminum,pole,wood pole,bungee cord,hex key,xt,roller frame</x:v>
      </x:c>
      <x:c r="Q9" s="32" t="n">
        <x:v>11</x:v>
      </x:c>
      <x:c r="R9" s="32" t="n">
        <x:v>1327</x:v>
      </x:c>
      <x:c r="S9" s="33" t="n">
        <x:v>0.0083</x:v>
      </x:c>
      <x:c r="T9" s="34" t="n">
        <x:v>46146.666666666664</x:v>
      </x:c>
      <x:c r="U9" s="30" t="str">
        <x:v>jtaub@pacoa.com; joe1199@live.com</x:v>
      </x:c>
      <x:c r="V9" s="30" t="str"/>
      <x:c r="W9" s="30" t="str">
        <x:v>+1 516-284-3000</x:v>
      </x:c>
      <x:c r="X9" s="30" t="str">
        <x:v>888.284.3000; 516.284.3000</x:v>
      </x:c>
      <x:c r="Y9" s="30" t="str">
        <x:v>+1 516-284-3000:状态1/类型3/WhatsApp2; 888.284.3000:状态3/类型0/WhatsApp0; 516.284.3000:状态1/类型1/WhatsApp2</x:v>
      </x:c>
      <x:c r="Z9" s="30" t="str"/>
      <x:c r="AA9" s="30" t="str">
        <x:v>https://www.linkedin.com/in/joseph-scherrer-0230a11b</x:v>
      </x:c>
      <x:c r="AB9" s="30" t="str">
        <x:v>Website inquiry form</x:v>
      </x:c>
      <x:c r="AC9" s="30" t="str">
        <x:v>jtaub@pacoa.com:3; joe1199@live.com:2</x:v>
      </x:c>
      <x:c r="AD9" s="30" t="str"/>
      <x:c r="AE9" s="30" t="str">
        <x:v>wood；塑料防护布；ipm；警示胶带；sol；遮蔽膜；包装材料；hat；xxxxx</x:v>
      </x:c>
      <x:c r="AF9" s="30" t="str">
        <x:v>2,886 CTNS OF PLASTIC DROP CLOTH, MASKING FILM AND CAUTION TAPE P.O. NO.: XXXXXX WE CERT IFY THAT THIS SHIPMENT CONTAINS NO SOLID WOODPACKING MATERIALS.&lt;br/&gt;</x:v>
      </x:c>
      <x:c r="AG9" s="30" t="str"/>
      <x:c r="AH9" s="30" t="str"/>
      <x:c r="AI9" s="30" t="str"/>
      <x:c r="AJ9" s="30" t="str">
        <x:v>遮蔽膜</x:v>
      </x:c>
      <x:c r="AK9" s="30" t="str">
        <x:v>masking-film-buyers-exact-search</x:v>
      </x:c>
      <x:c r="AL9" s="30" t="str">
        <x:v>UpKuajing customs company contact API; UpKuajing reviewed person contact API</x:v>
      </x:c>
      <x:c r="AM9" s="30" t="str">
        <x:v>https://www.pacoa.com/contactus</x:v>
      </x:c>
      <x:c r="AN9" s="30" t="str">
        <x:v>Official contact page confirmed address, phone numbers and inquiry form; API email was not displayed on the page.; 人物补充：Joseph Scherrer（Assistant Buyer）；采购岗位，且公司精确匹配 PACOA。</x:v>
      </x:c>
      <x:c r="AO9" s="34" t="n">
        <x:v>46220</x:v>
      </x:c>
    </x:row>
    <x:row r="10" ht="44" customHeight="1">
      <x:c r="A10" s="30" t="str">
        <x:v>官网已核验-API邮箱已确认</x:v>
      </x:c>
      <x:c r="B10" s="30" t="str">
        <x:v>高-欧美</x:v>
      </x:c>
      <x:c r="C10" s="30" t="str">
        <x:v>遮蔽膜</x:v>
      </x:c>
      <x:c r="D10" s="31" t="str">
        <x:v>209484</x:v>
      </x:c>
      <x:c r="E10" s="30" t="str">
        <x:v>thermwell products</x:v>
      </x:c>
      <x:c r="F10" s="30" t="str">
        <x:v>美国</x:v>
      </x:c>
      <x:c r="G10" s="30" t="str">
        <x:v>support@frostking.com</x:v>
      </x:c>
      <x:c r="H10" s="30" t="str">
        <x:f>IF(ISNUMBER(SEARCH(":1",AC10)),"已验证有效",IF(ISNUMBER(SEARCH(":3",AC10)),"验证不确定",IF(ISNUMBER(SEARCH(":0",AC10)),"接口未能检测",IF(ISNUMBER(SEARCH(":2",AC10)),"判定无效",IF(V10&lt;&gt;"","官网已确认-未验证","无邮箱")))))</x:f>
        <x:v>验证不确定</x:v>
      </x:c>
      <x:c r="I10" s="30" t="str">
        <x:v>+1 201-684-4400</x:v>
      </x:c>
      <x:c r="J10" s="30" t="str">
        <x:v>http://www.frostking.com/</x:v>
      </x:c>
      <x:c r="K10" s="35" t="n">
        <x:f>ROUND((IF(H10="已验证有效",40,IF(V10&lt;&gt;"",20,0))+IF(ISNUMBER(SEARCH("状态1",Y10)),25,0)+IF(J10&lt;&gt;"",20,0)+IF(AA10&lt;&gt;"",15,0))/100,2)</x:f>
        <x:v>0.65</x:v>
      </x:c>
      <x:c r="L10" s="30" t="str">
        <x:v>待联系</x:v>
      </x:c>
      <x:c r="M10" s="30" t="str"/>
      <x:c r="N10" s="30" t="str">
        <x:v>420 rt. 17 south.mahwah, nj 07430</x:v>
      </x:c>
      <x:c r="O10" s="30" t="str">
        <x:v>420 Route 17 South, Mahwah, NJ 07430, USA</x:v>
      </x:c>
      <x:c r="P10" s="30" t="str">
        <x:v>garage,ev,rubber insert,floor,high cube,un no,black vinyl,weather strip,foil duct,sheet,count,sunrise,kit,tool cart,y 100,irene,replacement seal,garage door,seal kit,a1</x:v>
      </x:c>
      <x:c r="Q10" s="32" t="n">
        <x:v>10</x:v>
      </x:c>
      <x:c r="R10" s="32" t="n">
        <x:v>8113</x:v>
      </x:c>
      <x:c r="S10" s="33" t="n">
        <x:v>0.0012</x:v>
      </x:c>
      <x:c r="T10" s="34" t="n">
        <x:v>46147.666666666664</x:v>
      </x:c>
      <x:c r="U10" s="30" t="str">
        <x:v>support@frostking.com</x:v>
      </x:c>
      <x:c r="V10" s="30" t="str">
        <x:v>support@frostking.com</x:v>
      </x:c>
      <x:c r="W10" s="30" t="str">
        <x:v>+1 201-684-4400</x:v>
      </x:c>
      <x:c r="X10" s="30" t="str">
        <x:v>201-684-4400; 775-331-5291</x:v>
      </x:c>
      <x:c r="Y10" s="30" t="str">
        <x:v>+1 201-684-4400:状态1/类型2/WhatsApp2; 201-684-4400:状态2/类型3/WhatsApp2; 775-331-5291:状态3/类型0/WhatsApp0</x:v>
      </x:c>
      <x:c r="Z10" s="30" t="str"/>
      <x:c r="AA10" s="30" t="str"/>
      <x:c r="AB10" s="30" t="str">
        <x:v>Official email and website inquiry form</x:v>
      </x:c>
      <x:c r="AC10" s="30" t="str">
        <x:v>support@frostking.com:3</x:v>
      </x:c>
      <x:c r="AD10" s="30" t="str"/>
      <x:c r="AE10" s="30" t="str">
        <x:v>塑料遮蔽膜</x:v>
      </x:c>
      <x:c r="AF10" s="30" t="str">
        <x:v>PLASTIC MASKING FILM,HS:392010&lt;br/&gt;</x:v>
      </x:c>
      <x:c r="AG10" s="30" t="str"/>
      <x:c r="AH10" s="30" t="str"/>
      <x:c r="AI10" s="30" t="str"/>
      <x:c r="AJ10" s="30" t="str">
        <x:v>遮蔽膜</x:v>
      </x:c>
      <x:c r="AK10" s="30" t="str">
        <x:v>masking-film-buyers-exact-search</x:v>
      </x:c>
      <x:c r="AL10" s="30" t="str">
        <x:v>UpKuajing customs company contact API</x:v>
      </x:c>
      <x:c r="AM10" s="30" t="str">
        <x:v>https://www.frostking.com/contact; https://www.frostking.com/accessibility-statement</x:v>
      </x:c>
      <x:c r="AN10" s="30" t="str">
        <x:v>Official accessibility page confirms support@frostking.com, matching the API email.</x:v>
      </x:c>
      <x:c r="AO10" s="34" t="n">
        <x:v>46220</x:v>
      </x:c>
    </x:row>
    <x:row r="11" ht="44" customHeight="1">
      <x:c r="A11" s="30" t="str">
        <x:v>官网已补充客服邮箱与电话</x:v>
      </x:c>
      <x:c r="B11" s="30" t="str">
        <x:v>高-欧美</x:v>
      </x:c>
      <x:c r="C11" s="30" t="str">
        <x:v>遮蔽膜</x:v>
      </x:c>
      <x:c r="D11" s="31" t="str">
        <x:v>71495262</x:v>
      </x:c>
      <x:c r="E11" s="30" t="str">
        <x:v>TPLOGIX, INC</x:v>
      </x:c>
      <x:c r="F11" s="30" t="str">
        <x:v>美国</x:v>
      </x:c>
      <x:c r="G11" s="30" t="str">
        <x:v>csr1@tplogix.com</x:v>
      </x:c>
      <x:c r="H11" s="30" t="str">
        <x:f>IF(ISNUMBER(SEARCH(":1",AC11)),"已验证有效",IF(ISNUMBER(SEARCH(":3",AC11)),"验证不确定",IF(ISNUMBER(SEARCH(":0",AC11)),"接口未能检测",IF(ISNUMBER(SEARCH(":2",AC11)),"判定无效",IF(V11&lt;&gt;"","官网已确认-未验证","无邮箱")))))</x:f>
        <x:v>验证不确定</x:v>
      </x:c>
      <x:c r="I11" s="30" t="str">
        <x:v>+1 562-474-8460</x:v>
      </x:c>
      <x:c r="J11" s="30" t="str"/>
      <x:c r="K11" s="35" t="n">
        <x:f>ROUND((IF(H11="已验证有效",40,IF(V11&lt;&gt;"",20,0))+IF(ISNUMBER(SEARCH("状态1",Y11)),25,0)+IF(J11&lt;&gt;"",20,0)+IF(AA11&lt;&gt;"",15,0))/100,2)</x:f>
        <x:v>0.45</x:v>
      </x:c>
      <x:c r="L11" s="30" t="str">
        <x:v>待联系</x:v>
      </x:c>
      <x:c r="M11" s="30" t="str"/>
      <x:c r="N11" s="30" t="str">
        <x:v>Fountain Valley, California</x:v>
      </x:c>
      <x:c r="O11" s="30" t="str">
        <x:v>1901 HARRISON ST STE 1100, OAKLAND, CA 94612-3648, USA</x:v>
      </x:c>
      <x:c r="P11" s="30" t="str"/>
      <x:c r="Q11" s="32" t="n">
        <x:v>7</x:v>
      </x:c>
      <x:c r="R11" s="32" t="n">
        <x:v>19792</x:v>
      </x:c>
      <x:c r="S11" s="33" t="n">
        <x:v>0.0004</x:v>
      </x:c>
      <x:c r="T11" s="34" t="n">
        <x:v>46133.666666666664</x:v>
      </x:c>
      <x:c r="U11" s="30" t="str">
        <x:v>r1@tplogix.com</x:v>
      </x:c>
      <x:c r="V11" s="30" t="str">
        <x:v>csr1@tplogix.com; csr5@tplogix.com</x:v>
      </x:c>
      <x:c r="W11" s="30" t="str">
        <x:v>+1 562-474-8460; 5624748460</x:v>
      </x:c>
      <x:c r="X11" s="30" t="str">
        <x:v>562-474-8460</x:v>
      </x:c>
      <x:c r="Y11" s="30" t="str">
        <x:v>+1 562-474-8460:状态1/类型3/WhatsApp2; 5624748460:状态3/类型0/WhatsApp0; 562-474-8460:状态2/类型3/WhatsApp2</x:v>
      </x:c>
      <x:c r="Z11" s="30" t="str"/>
      <x:c r="AA11" s="30" t="str"/>
      <x:c r="AB11" s="30" t="str">
        <x:v>Official customer-service emails, phone and inquiry form</x:v>
      </x:c>
      <x:c r="AC11" s="30" t="str">
        <x:v>r1@tplogix.com:2; csr1@tplogix.com:3; csr5@tplogix.com:3</x:v>
      </x:c>
      <x:c r="AD11" s="30" t="str"/>
      <x:c r="AE11" s="30" t="str"/>
      <x:c r="AF11" s="30" t="str">
        <x:v>MASKING FILM HBL BCOLO SCAC CODE BCPI ACI CODE W</x:v>
      </x:c>
      <x:c r="AG11" s="30" t="str"/>
      <x:c r="AH11" s="30" t="str"/>
      <x:c r="AI11" s="30" t="str"/>
      <x:c r="AJ11" s="30" t="str">
        <x:v>遮蔽膜</x:v>
      </x:c>
      <x:c r="AK11" s="30" t="str">
        <x:v>masking-film-buyers-exact-search</x:v>
      </x:c>
      <x:c r="AL11" s="30" t="str">
        <x:v>UpKuajing customs company contact API</x:v>
      </x:c>
      <x:c r="AM11" s="30" t="str">
        <x:v>https://tplogix.com/contact-us/</x:v>
      </x:c>
      <x:c r="AN11" s="30" t="str">
        <x:v>Official contact page provides two customer-service emails; use these ahead of the unverified API email.</x:v>
      </x:c>
      <x:c r="AO11" s="34" t="n">
        <x:v>46220</x:v>
      </x:c>
    </x:row>
    <x:row r="12" ht="44" customHeight="1">
      <x:c r="A12" s="30" t="str">
        <x:v>API联系方式已获取</x:v>
      </x:c>
      <x:c r="B12" s="30" t="str">
        <x:v>高-欧美</x:v>
      </x:c>
      <x:c r="C12" s="30" t="str">
        <x:v>遮蔽膜</x:v>
      </x:c>
      <x:c r="D12" s="31" t="str">
        <x:v>22633164</x:v>
      </x:c>
      <x:c r="E12" s="30" t="str">
        <x:v>TCP GLOBAL CORPORATION</x:v>
      </x:c>
      <x:c r="F12" s="30" t="str">
        <x:v>美国</x:v>
      </x:c>
      <x:c r="G12" s="30" t="str">
        <x:v>pport@tcpglobal.com</x:v>
      </x:c>
      <x:c r="H12" s="30" t="str">
        <x:f>IF(ISNUMBER(SEARCH(":1",AC12)),"已验证有效",IF(ISNUMBER(SEARCH(":3",AC12)),"验证不确定",IF(ISNUMBER(SEARCH(":0",AC12)),"接口未能检测",IF(ISNUMBER(SEARCH(":2",AC12)),"判定无效",IF(V12&lt;&gt;"","官网已确认-未验证","无邮箱")))))</x:f>
        <x:v>已验证有效</x:v>
      </x:c>
      <x:c r="I12" s="30" t="str">
        <x:v>+1 858-909-2110</x:v>
      </x:c>
      <x:c r="J12" s="30" t="str">
        <x:v>tcpglobal.com</x:v>
      </x:c>
      <x:c r="K12" s="35" t="n">
        <x:f>ROUND((IF(H12="已验证有效",40,IF(V12&lt;&gt;"",20,0))+IF(ISNUMBER(SEARCH("状态1",Y12)),25,0)+IF(J12&lt;&gt;"",20,0)+IF(AA12&lt;&gt;"",15,0))/100,2)</x:f>
        <x:v>1</x:v>
      </x:c>
      <x:c r="L12" s="30" t="str">
        <x:v>待联系</x:v>
      </x:c>
      <x:c r="M12" s="30" t="str"/>
      <x:c r="N12" s="30" t="str">
        <x:v>san diego, california, united states 6695 rasha street</x:v>
      </x:c>
      <x:c r="O12" s="30" t="str"/>
      <x:c r="P12" s="30" t="str"/>
      <x:c r="Q12" s="32" t="n">
        <x:v>3</x:v>
      </x:c>
      <x:c r="R12" s="32" t="n">
        <x:v>397</x:v>
      </x:c>
      <x:c r="S12" s="33" t="n">
        <x:v>0.0076</x:v>
      </x:c>
      <x:c r="T12" s="34" t="n">
        <x:v>46009.666666666664</x:v>
      </x:c>
      <x:c r="U12" s="30" t="str">
        <x:v>pport@tcpglobal.com; support@tcpglobal.com</x:v>
      </x:c>
      <x:c r="V12" s="30" t="str"/>
      <x:c r="W12" s="30" t="str">
        <x:v>+1 858-909-2110</x:v>
      </x:c>
      <x:c r="X12" s="30" t="str"/>
      <x:c r="Y12" s="30" t="str">
        <x:v>+1 858-909-2110:状态1/类型3/WhatsApp2</x:v>
      </x:c>
      <x:c r="Z12" s="30" t="str"/>
      <x:c r="AA12" s="30" t="str">
        <x:v>https://www.facebook.com/TCPGlobal; https://www.instagram.com/TCPGlobal; https://www.linkedin.com/company/tcpglobal; https://www.youtube.com/c/tcpglobal</x:v>
      </x:c>
      <x:c r="AB12" s="30" t="str"/>
      <x:c r="AC12" s="30" t="str">
        <x:v>pport@tcpglobal.com:1; support@tcpglobal.com:1</x:v>
      </x:c>
      <x:c r="AD12" s="30" t="str"/>
      <x:c r="AE12" s="30" t="str"/>
      <x:c r="AF12" s="30" t="str">
        <x:v>MASKING FILM, PAPER TAPED MASKING FILM, PROTECTION FILM, CRASH WRAP FILM PO NO. </x:v>
      </x:c>
      <x:c r="AG12" s="30" t="str"/>
      <x:c r="AH12" s="30" t="str"/>
      <x:c r="AI12" s="30" t="str"/>
      <x:c r="AJ12" s="30" t="str">
        <x:v>遮蔽膜</x:v>
      </x:c>
      <x:c r="AK12" s="30" t="str">
        <x:v>expansion-search-masking-film-page-02</x:v>
      </x:c>
      <x:c r="AL12" s="30" t="str">
        <x:v>UpKuajing customs company contact API</x:v>
      </x:c>
      <x:c r="AM12" s="30" t="str"/>
      <x:c r="AN12" s="30" t="str"/>
      <x:c r="AO12" s="34" t="n">
        <x:v>46220</x:v>
      </x:c>
    </x:row>
    <x:row r="13" ht="44" customHeight="1">
      <x:c r="A13" s="30" t="str">
        <x:v>API联系方式已获取</x:v>
      </x:c>
      <x:c r="B13" s="30" t="str">
        <x:v>高-欧美</x:v>
      </x:c>
      <x:c r="C13" s="30" t="str">
        <x:v>胶带</x:v>
      </x:c>
      <x:c r="D13" s="31" t="str">
        <x:v>20433668</x:v>
      </x:c>
      <x:c r="E13" s="30" t="str">
        <x:v>CELS INC</x:v>
      </x:c>
      <x:c r="F13" s="30" t="str">
        <x:v>美国</x:v>
      </x:c>
      <x:c r="G13" s="30" t="str">
        <x:v>rhs@iatcoinc.com</x:v>
      </x:c>
      <x:c r="H13" s="30" t="str">
        <x:f>IF(ISNUMBER(SEARCH(":1",AC13)),"已验证有效",IF(ISNUMBER(SEARCH(":3",AC13)),"验证不确定",IF(ISNUMBER(SEARCH(":0",AC13)),"接口未能检测",IF(ISNUMBER(SEARCH(":2",AC13)),"判定无效",IF(V13&lt;&gt;"","官网已确认-未验证","无邮箱")))))</x:f>
        <x:v>已验证有效</x:v>
      </x:c>
      <x:c r="I13" s="30" t="str">
        <x:v>+1 847-299-1100</x:v>
      </x:c>
      <x:c r="J13" s="30" t="str">
        <x:v>www.iatcoinc.com</x:v>
      </x:c>
      <x:c r="K13" s="35" t="n">
        <x:f>ROUND((IF(H13="已验证有效",40,IF(V13&lt;&gt;"",20,0))+IF(ISNUMBER(SEARCH("状态1",Y13)),25,0)+IF(J13&lt;&gt;"",20,0)+IF(AA13&lt;&gt;"",15,0))/100,2)</x:f>
        <x:v>0.85</x:v>
      </x:c>
      <x:c r="L13" s="30" t="str">
        <x:v>待联系</x:v>
      </x:c>
      <x:c r="M13" s="30" t="str"/>
      <x:c r="N13" s="30" t="str">
        <x:v>1669 marshall drive des plaines il 60018-1840</x:v>
      </x:c>
      <x:c r="O13" s="30" t="str"/>
      <x:c r="P13" s="30" t="str">
        <x:v>np c,psl,ev,t2,shaft hose,wooden,epi,lever block,grease fitting,rivet,clutch cover,sea a,arm,casting clutch,flywheel assembly,unit,cy door,e ring,count,e pi</x:v>
      </x:c>
      <x:c r="Q13" s="32" t="n">
        <x:v>2</x:v>
      </x:c>
      <x:c r="R13" s="32" t="n">
        <x:v>1256</x:v>
      </x:c>
      <x:c r="S13" s="33" t="n">
        <x:v>0.0016</x:v>
      </x:c>
      <x:c r="T13" s="34" t="n">
        <x:v>45603.666666666664</x:v>
      </x:c>
      <x:c r="U13" s="30" t="str">
        <x:v>rhs@iatcoinc.com</x:v>
      </x:c>
      <x:c r="V13" s="30" t="str"/>
      <x:c r="W13" s="30" t="str">
        <x:v>+1 847-299-1100</x:v>
      </x:c>
      <x:c r="X13" s="30" t="str"/>
      <x:c r="Y13" s="30" t="str">
        <x:v>+1 847-299-1100:状态1/类型3/WhatsApp2</x:v>
      </x:c>
      <x:c r="Z13" s="30" t="str"/>
      <x:c r="AA13" s="30" t="str"/>
      <x:c r="AB13" s="30" t="str"/>
      <x:c r="AC13" s="30" t="str">
        <x:v>rhs@iatcoinc.com:1</x:v>
      </x:c>
      <x:c r="AD13" s="30" t="str">
        <x:v>Security Tape；Metal Components；Manifold Sub Assembly；Enclosure Manifold；Exhaust Hole</x:v>
      </x:c>
      <x:c r="AE13" s="30" t="str">
        <x:v>Security；胶带；金属；Manifold；Exhaust</x:v>
      </x:c>
      <x:c r="AF13" s="30" t="str">
        <x:v>CLEAR SECURITY TAPE METAL COMPONENTS 00002 B05 W 1 MANIFOLD SUB ASSEMBLY W/ 00004 A02 IAIR3 ENCLOSURE MANIFOLD IAIR3 TYPE VIII S/A(002790 MANIFOLD WITH 002793 NO LOGO COVER) /(TPP) ENLARGE 3 MM EXHAUST HOLE WITH 000127AA ORIFICE 114 CTNS(4 WOOD PALLETS...</x:v>
      </x:c>
      <x:c r="AG13" s="30" t="str">
        <x:v>Safety Tape；Metal Parts；Manifold Assembly；Enclosure Unit；Exhaust Opening</x:v>
      </x:c>
      <x:c r="AH13" s="30" t="str">
        <x:v>塑料树脂；Metal Alloy；橡胶；Steel；Aluminum</x:v>
      </x:c>
      <x:c r="AI13" s="30" t="str">
        <x:v>Automotive Industry；Electronics Industry；Machinery Manufacturing；Aerospace Industry；Industrial Equipment</x:v>
      </x:c>
      <x:c r="AJ13" s="30" t="str">
        <x:v>胶带</x:v>
      </x:c>
      <x:c r="AK13" s="30" t="str">
        <x:v>expansion-search-tape-page-02</x:v>
      </x:c>
      <x:c r="AL13" s="30" t="str">
        <x:v>UpKuajing customs company contact API</x:v>
      </x:c>
      <x:c r="AM13" s="30" t="str"/>
      <x:c r="AN13" s="30" t="str"/>
      <x:c r="AO13" s="34" t="n">
        <x:v>46220</x:v>
      </x:c>
    </x:row>
    <x:row r="14" ht="44" customHeight="1">
      <x:c r="A14" s="30" t="str">
        <x:v>API联系方式已获取</x:v>
      </x:c>
      <x:c r="B14" s="30" t="str">
        <x:v>高-欧美</x:v>
      </x:c>
      <x:c r="C14" s="30" t="str">
        <x:v>遮蔽膜</x:v>
      </x:c>
      <x:c r="D14" s="31" t="str">
        <x:v>20634349</x:v>
      </x:c>
      <x:c r="E14" s="30" t="str">
        <x:v>SUNMIGHT USA CORP</x:v>
      </x:c>
      <x:c r="F14" s="30" t="str">
        <x:v>美国</x:v>
      </x:c>
      <x:c r="G14" s="30" t="str">
        <x:v>sales@sunmightusa.com</x:v>
      </x:c>
      <x:c r="H14" s="30" t="str">
        <x:f>IF(ISNUMBER(SEARCH(":1",AC14)),"已验证有效",IF(ISNUMBER(SEARCH(":3",AC14)),"验证不确定",IF(ISNUMBER(SEARCH(":0",AC14)),"接口未能检测",IF(ISNUMBER(SEARCH(":2",AC14)),"判定无效",IF(V14&lt;&gt;"","官网已确认-未验证","无邮箱")))))</x:f>
        <x:v>已验证有效</x:v>
      </x:c>
      <x:c r="I14" s="30" t="str">
        <x:v>+1 714-952-5020</x:v>
      </x:c>
      <x:c r="J14" s="30" t="str">
        <x:v>www.sunmightusa.com</x:v>
      </x:c>
      <x:c r="K14" s="35" t="n">
        <x:f>ROUND((IF(H14="已验证有效",40,IF(V14&lt;&gt;"",20,0))+IF(ISNUMBER(SEARCH("状态1",Y14)),25,0)+IF(J14&lt;&gt;"",20,0)+IF(AA14&lt;&gt;"",15,0))/100,2)</x:f>
        <x:v>1</x:v>
      </x:c>
      <x:c r="L14" s="30" t="str">
        <x:v>待联系</x:v>
      </x:c>
      <x:c r="M14" s="30" t="str"/>
      <x:c r="N14" s="30" t="str">
        <x:v>14943 DESMAN RD</x:v>
      </x:c>
      <x:c r="O14" s="30" t="str"/>
      <x:c r="P14" s="30" t="str"/>
      <x:c r="Q14" s="32" t="n">
        <x:v>1</x:v>
      </x:c>
      <x:c r="R14" s="32" t="n">
        <x:v>803</x:v>
      </x:c>
      <x:c r="S14" s="33" t="n">
        <x:v>0.0012</x:v>
      </x:c>
      <x:c r="T14" s="34" t="n">
        <x:v>45600.666666666664</x:v>
      </x:c>
      <x:c r="U14" s="30" t="str">
        <x:v>sales@sunmightusa.com</x:v>
      </x:c>
      <x:c r="V14" s="30" t="str"/>
      <x:c r="W14" s="30" t="str">
        <x:v>+1 714-952-5020; 7149525020</x:v>
      </x:c>
      <x:c r="X14" s="30" t="str"/>
      <x:c r="Y14" s="30" t="str">
        <x:v>+1 714-952-5020:状态1/类型3/WhatsApp2; 7149525020:状态2/类型0/WhatsApp2</x:v>
      </x:c>
      <x:c r="Z14" s="30" t="str"/>
      <x:c r="AA14" s="30" t="str">
        <x:v>https://www.facebook.com/Sunmight-USA-853750248015099; https://www.linkedin.com/company/sunmight-usa-corporation; https://www.youtube.com/channel/UC8N04SiL5aP9Hqalsoac-fw</x:v>
      </x:c>
      <x:c r="AB14" s="30" t="str"/>
      <x:c r="AC14" s="30" t="str">
        <x:v>sales@sunmightusa.com:1</x:v>
      </x:c>
      <x:c r="AD14" s="30" t="str">
        <x:v>塑料遮蔽膜</x:v>
      </x:c>
      <x:c r="AE14" s="30" t="str">
        <x:v>塑料；遮蔽膜</x:v>
      </x:c>
      <x:c r="AF14" s="30" t="str">
        <x:v>PLASTIC MASKING FILM</x:v>
      </x:c>
      <x:c r="AG14" s="30" t="str">
        <x:v>Plastic masking tape；Painter's film；Protective plastic film；塑料遮蔽片；表面保护膜</x:v>
      </x:c>
      <x:c r="AH14" s="30" t="str">
        <x:v>塑料树脂；聚合物；添加剂；增塑剂；Pigment</x:v>
      </x:c>
      <x:c r="AI14" s="30" t="str">
        <x:v>汽车涂装；家具涂装；建筑涂装；工业涂装；DIY项目</x:v>
      </x:c>
      <x:c r="AJ14" s="30" t="str">
        <x:v>遮蔽膜</x:v>
      </x:c>
      <x:c r="AK14" s="30" t="str">
        <x:v>expansion-search-masking-film-page-02</x:v>
      </x:c>
      <x:c r="AL14" s="30" t="str">
        <x:v>UpKuajing customs company contact API</x:v>
      </x:c>
      <x:c r="AM14" s="30" t="str"/>
      <x:c r="AN14" s="30" t="str"/>
      <x:c r="AO14" s="34" t="n">
        <x:v>46220</x:v>
      </x:c>
    </x:row>
    <x:row r="15" ht="44" customHeight="1">
      <x:c r="A15" s="30" t="str">
        <x:v>API联系方式已获取</x:v>
      </x:c>
      <x:c r="B15" s="30" t="str">
        <x:v>常规-全球</x:v>
      </x:c>
      <x:c r="C15" s="30" t="str">
        <x:v>胶带</x:v>
      </x:c>
      <x:c r="D15" s="31" t="str">
        <x:v>20189222</x:v>
      </x:c>
      <x:c r="E15" s="30" t="str">
        <x:v>DIXON TECHNOLOGIES (INDIA) LIMITED</x:v>
      </x:c>
      <x:c r="F15" s="30" t="str">
        <x:v>印度</x:v>
      </x:c>
      <x:c r="G15" s="30" t="str">
        <x:v>investorrelations@dixoninfo.com</x:v>
      </x:c>
      <x:c r="H15" s="30" t="str">
        <x:f>IF(ISNUMBER(SEARCH(":1",AC15)),"已验证有效",IF(ISNUMBER(SEARCH(":3",AC15)),"验证不确定",IF(ISNUMBER(SEARCH(":0",AC15)),"接口未能检测",IF(ISNUMBER(SEARCH(":2",AC15)),"判定无效",IF(V15&lt;&gt;"","官网已确认-未验证","无邮箱")))))</x:f>
        <x:v>已验证有效</x:v>
      </x:c>
      <x:c r="I15" s="30" t="str">
        <x:v>+91 120 473 7200</x:v>
      </x:c>
      <x:c r="J15" s="30" t="str">
        <x:v>www.dixoninfo.com</x:v>
      </x:c>
      <x:c r="K15" s="35" t="n">
        <x:f>ROUND((IF(H15="已验证有效",40,IF(V15&lt;&gt;"",20,0))+IF(ISNUMBER(SEARCH("状态1",Y15)),25,0)+IF(J15&lt;&gt;"",20,0)+IF(AA15&lt;&gt;"",15,0))/100,2)</x:f>
        <x:v>1</x:v>
      </x:c>
      <x:c r="L15" s="30" t="str">
        <x:v>待联系</x:v>
      </x:c>
      <x:c r="M15" s="30" t="str"/>
      <x:c r="N15" s="30" t="str">
        <x:v>B-14 &amp; 15 , NOIDA PHASE II</x:v>
      </x:c>
      <x:c r="O15" s="30" t="str"/>
      <x:c r="P15" s="30" t="str"/>
      <x:c r="Q15" s="32" t="n">
        <x:v>7587</x:v>
      </x:c>
      <x:c r="R15" s="32" t="n">
        <x:v>413868</x:v>
      </x:c>
      <x:c r="S15" s="33" t="n">
        <x:v>0.0183</x:v>
      </x:c>
      <x:c r="T15" s="34" t="n">
        <x:v>45868.666666666664</x:v>
      </x:c>
      <x:c r="U15" s="30" t="str">
        <x:v>investorrelations@dixoninfo.com</x:v>
      </x:c>
      <x:c r="V15" s="30" t="str"/>
      <x:c r="W15" s="30" t="str">
        <x:v>+91 120 473 7200</x:v>
      </x:c>
      <x:c r="X15" s="30" t="str"/>
      <x:c r="Y15" s="30" t="str">
        <x:v>+91 120 473 7200:状态1/类型1/WhatsApp2</x:v>
      </x:c>
      <x:c r="Z15" s="30" t="str"/>
      <x:c r="AA15" s="30" t="str">
        <x:v>https://www.linkedin.com/in/dixon-technologies-india-limited-625197186</x:v>
      </x:c>
      <x:c r="AB15" s="30" t="str"/>
      <x:c r="AC15" s="30" t="str">
        <x:v>investorrelations@dixoninfo.com:1</x:v>
      </x:c>
      <x:c r="AD15" s="30" t="str">
        <x:v>橡胶胶带；LED电视零部件</x:v>
      </x:c>
      <x:c r="AE15" s="30" t="str">
        <x:v>橡胶；胶带；TPE；LED电视；零部件</x:v>
      </x:c>
      <x:c r="AF15" s="30" t="str">
        <x:v>RUBBER,TAPE,TPE,300X4.5X2,32,43,55DOTBL-0609-0000019-10-PARTS FOR LED TV-FOCPARTS FOR LED TV</x:v>
      </x:c>
      <x:c r="AG15" s="30" t="str">
        <x:v>橡胶胶粘带；LED电视配件；TPE胶带；电视零部件；橡胶条</x:v>
      </x:c>
      <x:c r="AH15" s="30" t="str">
        <x:v>橡胶树脂；TPE聚合物；塑料；金属；电子元件</x:v>
      </x:c>
      <x:c r="AI15" s="30" t="str">
        <x:v>LED电视；显示器；显示设备；家用电器；消费电子</x:v>
      </x:c>
      <x:c r="AJ15" s="30" t="str">
        <x:v>胶带</x:v>
      </x:c>
      <x:c r="AK15" s="30" t="str">
        <x:v>tape-buyers-fuzzy-search</x:v>
      </x:c>
      <x:c r="AL15" s="30" t="str">
        <x:v>UpKuajing customs company contact API</x:v>
      </x:c>
      <x:c r="AM15" s="30" t="str"/>
      <x:c r="AN15" s="30" t="str"/>
      <x:c r="AO15" s="34" t="n">
        <x:v>46220</x:v>
      </x:c>
    </x:row>
    <x:row r="16" ht="44" customHeight="1">
      <x:c r="A16" s="30" t="str">
        <x:v>API联系方式已获取</x:v>
      </x:c>
      <x:c r="B16" s="30" t="str">
        <x:v>常规-全球</x:v>
      </x:c>
      <x:c r="C16" s="30" t="str">
        <x:v>胶带</x:v>
      </x:c>
      <x:c r="D16" s="31" t="str">
        <x:v>1945196</x:v>
      </x:c>
      <x:c r="E16" s="30" t="str">
        <x:v>laarcourier express s.a.</x:v>
      </x:c>
      <x:c r="F16" s="30" t="str">
        <x:v>厄瓜多尔</x:v>
      </x:c>
      <x:c r="G16" s="30" t="str">
        <x:v>ccoque@grupolaar.com</x:v>
      </x:c>
      <x:c r="H16" s="30" t="str">
        <x:f>IF(ISNUMBER(SEARCH(":1",AC16)),"已验证有效",IF(ISNUMBER(SEARCH(":3",AC16)),"验证不确定",IF(ISNUMBER(SEARCH(":0",AC16)),"接口未能检测",IF(ISNUMBER(SEARCH(":2",AC16)),"判定无效",IF(V16&lt;&gt;"","官网已确认-未验证","无邮箱")))))</x:f>
        <x:v>已验证有效</x:v>
      </x:c>
      <x:c r="I16" s="30" t="str">
        <x:v>+593 2-396-0000</x:v>
      </x:c>
      <x:c r="J16" s="30" t="str">
        <x:v>www.laarcourier.com</x:v>
      </x:c>
      <x:c r="K16" s="35" t="n">
        <x:f>ROUND((IF(H16="已验证有效",40,IF(V16&lt;&gt;"",20,0))+IF(ISNUMBER(SEARCH("状态1",Y16)),25,0)+IF(J16&lt;&gt;"",20,0)+IF(AA16&lt;&gt;"",15,0))/100,2)</x:f>
        <x:v>0.85</x:v>
      </x:c>
      <x:c r="L16" s="30" t="str">
        <x:v>待联系</x:v>
      </x:c>
      <x:c r="M16" s="30" t="str"/>
      <x:c r="N16" s="30" t="str">
        <x:v>GRUPO LAAR , DE LOS CIPRESES N26 , CARCELEN INDUSTRIAL</x:v>
      </x:c>
      <x:c r="O16" s="30" t="str"/>
      <x:c r="P16" s="30" t="str"/>
      <x:c r="Q16" s="32" t="n">
        <x:v>6944</x:v>
      </x:c>
      <x:c r="R16" s="32" t="n">
        <x:v>1729929</x:v>
      </x:c>
      <x:c r="S16" s="33" t="n">
        <x:v>0.004</x:v>
      </x:c>
      <x:c r="T16" s="34" t="n">
        <x:v>46125.666666666664</x:v>
      </x:c>
      <x:c r="U16" s="30" t="str">
        <x:v>ccoque@grupolaar.com</x:v>
      </x:c>
      <x:c r="V16" s="30" t="str"/>
      <x:c r="W16" s="30" t="str">
        <x:v>+593 2-396-0000</x:v>
      </x:c>
      <x:c r="X16" s="30" t="str"/>
      <x:c r="Y16" s="30" t="str">
        <x:v>+593 2-396-0000:状态1/类型1/WhatsApp2</x:v>
      </x:c>
      <x:c r="Z16" s="30" t="str"/>
      <x:c r="AA16" s="30" t="str"/>
      <x:c r="AB16" s="30" t="str"/>
      <x:c r="AC16" s="30" t="str">
        <x:v>ccoque@grupolaar.com:1</x:v>
      </x:c>
      <x:c r="AD16" s="30" t="str"/>
      <x:c r="AE16" s="30" t="str">
        <x:v>coffee maker；glove；bedspread；pressure transmitter</x:v>
      </x:c>
      <x:c r="AF16" s="30" t="str">
        <x:v>TWO-PIECE SWIMSUIT 35911615558 SOMBRERO DE COPA VACIO 10712856281 VESTIDO 9850584530 SOMBRERO DE COPA VACIO 89050573348 TWO-PIECE SWIMSUIT 4804392116 REPAIR TAPE 44363863818 LONG SLEEVE CREW NECK FOR</x:v>
      </x:c>
      <x:c r="AG16" s="30" t="str"/>
      <x:c r="AH16" s="30" t="str"/>
      <x:c r="AI16" s="30" t="str"/>
      <x:c r="AJ16" s="30" t="str">
        <x:v>胶带</x:v>
      </x:c>
      <x:c r="AK16" s="30" t="str">
        <x:v>tape-buyers-fuzzy-search</x:v>
      </x:c>
      <x:c r="AL16" s="30" t="str">
        <x:v>UpKuajing customs company contact API</x:v>
      </x:c>
      <x:c r="AM16" s="30" t="str"/>
      <x:c r="AN16" s="30" t="str"/>
      <x:c r="AO16" s="34" t="n">
        <x:v>46220</x:v>
      </x:c>
    </x:row>
    <x:row r="17" ht="44" customHeight="1">
      <x:c r="A17" s="30" t="str">
        <x:v>已补充有效决策人邮箱</x:v>
      </x:c>
      <x:c r="B17" s="30" t="str">
        <x:v>常规-全球</x:v>
      </x:c>
      <x:c r="C17" s="30" t="str">
        <x:v>胶带</x:v>
      </x:c>
      <x:c r="D17" s="31" t="str">
        <x:v>20189128</x:v>
      </x:c>
      <x:c r="E17" s="30" t="str">
        <x:v>SAMSUNG INDIA ELECTRONICS PRIVATE LIMITED</x:v>
      </x:c>
      <x:c r="F17" s="30" t="str">
        <x:v>印度</x:v>
      </x:c>
      <x:c r="G17" s="30" t="str">
        <x:v>kiran.shindemumbai@gmail.com</x:v>
      </x:c>
      <x:c r="H17" s="30" t="str">
        <x:f>IF(ISNUMBER(SEARCH(":1",AC17)),"已验证有效",IF(ISNUMBER(SEARCH(":3",AC17)),"验证不确定",IF(ISNUMBER(SEARCH(":0",AC17)),"接口未能检测",IF(ISNUMBER(SEARCH(":2",AC17)),"判定无效",IF(V17&lt;&gt;"","官网已确认-未验证","无邮箱")))))</x:f>
        <x:v>已验证有效</x:v>
      </x:c>
      <x:c r="I17" s="30" t="str">
        <x:v>+91 124 488 1234</x:v>
      </x:c>
      <x:c r="J17" s="30" t="str">
        <x:v>www.samsung.com/in</x:v>
      </x:c>
      <x:c r="K17" s="35" t="n">
        <x:f>ROUND((IF(H17="已验证有效",40,IF(V17&lt;&gt;"",20,0))+IF(ISNUMBER(SEARCH("状态1",Y17)),25,0)+IF(J17&lt;&gt;"",20,0)+IF(AA17&lt;&gt;"",15,0))/100,2)</x:f>
        <x:v>1</x:v>
      </x:c>
      <x:c r="L17" s="30" t="str">
        <x:v>待联系</x:v>
      </x:c>
      <x:c r="M17" s="30" t="str"/>
      <x:c r="N17" s="30" t="str">
        <x:v>SIXTH FLOOR, DLF CENTRE , SANSAD MARG</x:v>
      </x:c>
      <x:c r="O17" s="30" t="str"/>
      <x:c r="P17" s="30" t="str">
        <x:v>Offers industrial and commercial electric apparatus and other equipment which include power converters (i.E., AC to DC and DC to AC), power supplies, surge suppressors, and similar equipment for industrial-type and consumer-type equipment</x:v>
      </x:c>
      <x:c r="Q17" s="32" t="n">
        <x:v>5800</x:v>
      </x:c>
      <x:c r="R17" s="32" t="n">
        <x:v>1405688</x:v>
      </x:c>
      <x:c r="S17" s="33" t="n">
        <x:v>0.0040999999999999995</x:v>
      </x:c>
      <x:c r="T17" s="34" t="n">
        <x:v>45868.666666666664</x:v>
      </x:c>
      <x:c r="U17" s="30" t="str">
        <x:v>komal.neb@samsung.com; kiran.shindemumbai@gmail.com; kiranshindemumbai@gmail.com</x:v>
      </x:c>
      <x:c r="V17" s="30" t="str"/>
      <x:c r="W17" s="30" t="str">
        <x:v>+91 124 488 1234</x:v>
      </x:c>
      <x:c r="X17" s="30" t="str"/>
      <x:c r="Y17" s="30" t="str">
        <x:v>+91 124 488 1234:状态1/类型1/WhatsApp2</x:v>
      </x:c>
      <x:c r="Z17" s="30" t="str"/>
      <x:c r="AA17" s="30" t="str">
        <x:v>https://www.linkedin.com/in/kiran-shinde-3a05091a</x:v>
      </x:c>
      <x:c r="AB17" s="30" t="str"/>
      <x:c r="AC17" s="30" t="str">
        <x:v>komal.neb@samsung.com:2; kiran.shindemumbai@gmail.com:1; kiranshindemumbai@gmail.com:1</x:v>
      </x:c>
      <x:c r="AD17" s="30" t="str"/>
      <x:c r="AE17" s="30" t="str"/>
      <x:c r="AF17" s="30" t="str">
        <x:v>TAPE-SINGLE FACE PAPER,T0.14,W75,L400M,B (0203-007500)(CEPANO:C020-25-0017622)TAPE-SINGLE FACE PAPER,T0.14,W75,L400M,B (0203-007500)(CEPA</x:v>
      </x:c>
      <x:c r="AG17" s="30" t="str"/>
      <x:c r="AH17" s="30" t="str"/>
      <x:c r="AI17" s="30" t="str"/>
      <x:c r="AJ17" s="30" t="str">
        <x:v>胶带</x:v>
      </x:c>
      <x:c r="AK17" s="30" t="str">
        <x:v>tape-buyers-fuzzy-search</x:v>
      </x:c>
      <x:c r="AL17" s="30" t="str">
        <x:v>UpKuajing customs company contact API; UpKuajing reviewed person contact API</x:v>
      </x:c>
      <x:c r="AM17" s="30" t="str"/>
      <x:c r="AN17" s="30" t="str">
        <x:v>人物补充：Kiran Shinde（Regional Distribution Manager）；供应链相关岗位，且公司匹配 Samsung India。</x:v>
      </x:c>
      <x:c r="AO17" s="34" t="n">
        <x:v>46220</x:v>
      </x:c>
    </x:row>
    <x:row r="18" ht="44" customHeight="1">
      <x:c r="A18" s="30" t="str">
        <x:v>API联系方式已获取</x:v>
      </x:c>
      <x:c r="B18" s="30" t="str">
        <x:v>常规-全球</x:v>
      </x:c>
      <x:c r="C18" s="30" t="str">
        <x:v>胶带</x:v>
      </x:c>
      <x:c r="D18" s="31" t="str">
        <x:v>20195417</x:v>
      </x:c>
      <x:c r="E18" s="30" t="str">
        <x:v>VIVO MOBILE INDIA PRIVATE LIMITED</x:v>
      </x:c>
      <x:c r="F18" s="30" t="str">
        <x:v>印度</x:v>
      </x:c>
      <x:c r="G18" s="30" t="str">
        <x:v>support.in@vivo.com</x:v>
      </x:c>
      <x:c r="H18" s="30" t="str">
        <x:f>IF(ISNUMBER(SEARCH(":1",AC18)),"已验证有效",IF(ISNUMBER(SEARCH(":3",AC18)),"验证不确定",IF(ISNUMBER(SEARCH(":0",AC18)),"接口未能检测",IF(ISNUMBER(SEARCH(":2",AC18)),"判定无效",IF(V18&lt;&gt;"","官网已确认-未验证","无邮箱")))))</x:f>
        <x:v>已验证有效</x:v>
      </x:c>
      <x:c r="I18" s="30" t="str">
        <x:v>18002083388</x:v>
      </x:c>
      <x:c r="J18" s="30" t="str">
        <x:v>www.vivo.co.in</x:v>
      </x:c>
      <x:c r="K18" s="35" t="n">
        <x:f>ROUND((IF(H18="已验证有效",40,IF(V18&lt;&gt;"",20,0))+IF(ISNUMBER(SEARCH("状态1",Y18)),25,0)+IF(J18&lt;&gt;"",20,0)+IF(AA18&lt;&gt;"",15,0))/100,2)</x:f>
        <x:v>1</x:v>
      </x:c>
      <x:c r="L18" s="30" t="str">
        <x:v>待联系</x:v>
      </x:c>
      <x:c r="M18" s="30" t="str"/>
      <x:c r="N18" s="30" t="str">
        <x:v>VILLAGE WAZIRABAD, SECTOR-54 , 10TH &amp; 11TH FLOOR, PALM SPRINGS PLAZA (COMPLEX)</x:v>
      </x:c>
      <x:c r="O18" s="30" t="str"/>
      <x:c r="P18" s="30" t="str">
        <x:v>Wireless communications products</x:v>
      </x:c>
      <x:c r="Q18" s="32" t="n">
        <x:v>4462</x:v>
      </x:c>
      <x:c r="R18" s="32" t="n">
        <x:v>740579</x:v>
      </x:c>
      <x:c r="S18" s="33" t="n">
        <x:v>0.006</x:v>
      </x:c>
      <x:c r="T18" s="34" t="n">
        <x:v>45868.666666666664</x:v>
      </x:c>
      <x:c r="U18" s="30" t="str">
        <x:v>support.in@vivo.com; vcare@vivo.com</x:v>
      </x:c>
      <x:c r="V18" s="30" t="str"/>
      <x:c r="W18" s="30" t="str">
        <x:v>01206283388; 18001023388; 18002083388; 18002084488; +91 120 628 3388</x:v>
      </x:c>
      <x:c r="X18" s="30" t="str"/>
      <x:c r="Y18" s="30" t="str">
        <x:v>01206283388:状态2/类型1/WhatsApp2; 18001023388:状态2/类型0/WhatsApp2; 18002083388:状态1/类型3/WhatsApp2; 18002084488:状态2/类型0/WhatsApp2; +91 120 628 3388:状态1/类型1/WhatsApp2</x:v>
      </x:c>
      <x:c r="Z18" s="30" t="str"/>
      <x:c r="AA18" s="30" t="str">
        <x:v>https://www.facebook.com/vivoIndia; https://www.instagram.com/accounts/login; https://www.linkedin.com/company/vivo-india; https://twitter.com/Vivo_India; https://www.youtube.com/c/VivoIndiaofficial</x:v>
      </x:c>
      <x:c r="AB18" s="30" t="str"/>
      <x:c r="AC18" s="30" t="str">
        <x:v>support.in@vivo.com:1; vcare@vivo.com:1</x:v>
      </x:c>
      <x:c r="AD18" s="30" t="str"/>
      <x:c r="AE18" s="30" t="str"/>
      <x:c r="AF18" s="30" t="str">
        <x:v>5181720 WATER CONTACT INDICATOR TAPE (PAPER) (PARTS FOR MFG.OF MOBILE PHONE)5181720 WATER CONTACT INDICATOR TAPE (PAPER) (PARTS FOR MFG.</x:v>
      </x:c>
      <x:c r="AG18" s="30" t="str"/>
      <x:c r="AH18" s="30" t="str"/>
      <x:c r="AI18" s="30" t="str"/>
      <x:c r="AJ18" s="30" t="str">
        <x:v>胶带</x:v>
      </x:c>
      <x:c r="AK18" s="30" t="str">
        <x:v>tape-buyers-fuzzy-search</x:v>
      </x:c>
      <x:c r="AL18" s="30" t="str">
        <x:v>UpKuajing customs company contact API</x:v>
      </x:c>
      <x:c r="AM18" s="30" t="str"/>
      <x:c r="AN18" s="30" t="str"/>
      <x:c r="AO18" s="34" t="n">
        <x:v>46220</x:v>
      </x:c>
    </x:row>
    <x:row r="19" ht="44" customHeight="1">
      <x:c r="A19" s="30" t="str">
        <x:v>API联系方式已获取</x:v>
      </x:c>
      <x:c r="B19" s="30" t="str">
        <x:v>常规-全球</x:v>
      </x:c>
      <x:c r="C19" s="30" t="str">
        <x:v>胶带</x:v>
      </x:c>
      <x:c r="D19" s="31" t="str">
        <x:v>80133</x:v>
      </x:c>
      <x:c r="E19" s="30" t="str">
        <x:v>brandix apparel india pvt.ltd.</x:v>
      </x:c>
      <x:c r="F19" s="30" t="str">
        <x:v>印度</x:v>
      </x:c>
      <x:c r="G19" s="30" t="str">
        <x:v>info@brandix.com</x:v>
      </x:c>
      <x:c r="H19" s="30" t="str">
        <x:f>IF(ISNUMBER(SEARCH(":1",AC19)),"已验证有效",IF(ISNUMBER(SEARCH(":3",AC19)),"验证不确定",IF(ISNUMBER(SEARCH(":0",AC19)),"接口未能检测",IF(ISNUMBER(SEARCH(":2",AC19)),"判定无效",IF(V19&lt;&gt;"","官网已确认-未验证","无邮箱")))))</x:f>
        <x:v>已验证有效</x:v>
      </x:c>
      <x:c r="I19" s="30" t="str"/>
      <x:c r="J19" s="30" t="str">
        <x:v>www.brandix.com</x:v>
      </x:c>
      <x:c r="K19" s="35" t="n">
        <x:f>ROUND((IF(H19="已验证有效",40,IF(V19&lt;&gt;"",20,0))+IF(ISNUMBER(SEARCH("状态1",Y19)),25,0)+IF(J19&lt;&gt;"",20,0)+IF(AA19&lt;&gt;"",15,0))/100,2)</x:f>
        <x:v>0.6</x:v>
      </x:c>
      <x:c r="L19" s="30" t="str">
        <x:v>待联系</x:v>
      </x:c>
      <x:c r="M19" s="30" t="str"/>
      <x:c r="N19" s="30" t="str">
        <x:v>409 galle road colombo 3 sri lanka</x:v>
      </x:c>
      <x:c r="O19" s="30" t="str"/>
      <x:c r="P19" s="30" t="str">
        <x:v>elastan,arrow,al bl,8 gsm,shirts,manmade fiber,cotton organic,bra size,structure,knit fabric,ciq,knitted fabric,hand tag,cacique,dow,cacl,table,twill,rubber yarn,blu</x:v>
      </x:c>
      <x:c r="Q19" s="32" t="n">
        <x:v>4245</x:v>
      </x:c>
      <x:c r="R19" s="32" t="n">
        <x:v>139671</x:v>
      </x:c>
      <x:c r="S19" s="33" t="n">
        <x:v>0.0304</x:v>
      </x:c>
      <x:c r="T19" s="34" t="n">
        <x:v>46141.666666666664</x:v>
      </x:c>
      <x:c r="U19" s="30" t="str">
        <x:v>info@brandix.com</x:v>
      </x:c>
      <x:c r="V19" s="30" t="str"/>
      <x:c r="W19" s="30" t="str"/>
      <x:c r="X19" s="30" t="str"/>
      <x:c r="Y19" s="30" t="str"/>
      <x:c r="Z19" s="30" t="str"/>
      <x:c r="AA19" s="30" t="str"/>
      <x:c r="AB19" s="30" t="str"/>
      <x:c r="AC19" s="30" t="str">
        <x:v>info@brandix.com:1</x:v>
      </x:c>
      <x:c r="AD19" s="30" t="str"/>
      <x:c r="AE19" s="30" t="str">
        <x:v>弹性织物；胶带；窄幅织物</x:v>
      </x:c>
      <x:c r="AF19" s="30" t="str">
        <x:v>NARROW WOVEN FABRIC ELASTIC TAPE 7000 MTRS BEL 8588023</x:v>
      </x:c>
      <x:c r="AG19" s="30" t="str"/>
      <x:c r="AH19" s="30" t="str"/>
      <x:c r="AI19" s="30" t="str"/>
      <x:c r="AJ19" s="30" t="str">
        <x:v>胶带</x:v>
      </x:c>
      <x:c r="AK19" s="30" t="str">
        <x:v>tape-buyers-fuzzy-search</x:v>
      </x:c>
      <x:c r="AL19" s="30" t="str">
        <x:v>UpKuajing customs company contact API</x:v>
      </x:c>
      <x:c r="AM19" s="30" t="str"/>
      <x:c r="AN19" s="30" t="str"/>
      <x:c r="AO19" s="34" t="n">
        <x:v>46220</x:v>
      </x:c>
    </x:row>
    <x:row r="20" ht="44" customHeight="1">
      <x:c r="A20" s="30" t="str">
        <x:v>API联系方式已获取</x:v>
      </x:c>
      <x:c r="B20" s="30" t="str">
        <x:v>常规-全球</x:v>
      </x:c>
      <x:c r="C20" s="30" t="str">
        <x:v>胶带</x:v>
      </x:c>
      <x:c r="D20" s="31" t="str">
        <x:v>4421112</x:v>
      </x:c>
      <x:c r="E20" s="30" t="str">
        <x:v>công ty tnhh honest việt nam</x:v>
      </x:c>
      <x:c r="F20" s="30" t="str">
        <x:v>越南</x:v>
      </x:c>
      <x:c r="G20" s="30" t="str">
        <x:v>hue.dt@honestvietnam.com.vn</x:v>
      </x:c>
      <x:c r="H20" s="30" t="str">
        <x:f>IF(ISNUMBER(SEARCH(":1",AC20)),"已验证有效",IF(ISNUMBER(SEARCH(":3",AC20)),"验证不确定",IF(ISNUMBER(SEARCH(":0",AC20)),"接口未能检测",IF(ISNUMBER(SEARCH(":2",AC20)),"判定无效",IF(V20&lt;&gt;"","官网已确认-未验证","无邮箱")))))</x:f>
        <x:v>验证不确定</x:v>
      </x:c>
      <x:c r="I20" s="30" t="str">
        <x:v>+84 24 3582 2456</x:v>
      </x:c>
      <x:c r="J20" s="30" t="str"/>
      <x:c r="K20" s="35" t="n">
        <x:f>ROUND((IF(H20="已验证有效",40,IF(V20&lt;&gt;"",20,0))+IF(ISNUMBER(SEARCH("状态1",Y20)),25,0)+IF(J20&lt;&gt;"",20,0)+IF(AA20&lt;&gt;"",15,0))/100,2)</x:f>
        <x:v>0.45</x:v>
      </x:c>
      <x:c r="L20" s="30" t="str">
        <x:v>待联系</x:v>
      </x:c>
      <x:c r="M20" s="30" t="str"/>
      <x:c r="N20" s="30" t="str">
        <x:v>khu công nghiệp nội bài, 8c x. quang tiến, h. sóc sơn,hà nội</x:v>
      </x:c>
      <x:c r="O20" s="30" t="str"/>
      <x:c r="P20" s="30" t="str">
        <x:v>granules of pig iron,record sleeves,wires,display,fire fighting truck,cu products,glues based on starches,air filter,coupler cable,hydraulic machine,cotters,wrench sockets,panel,plastic bag,steel parts,tyre,light emitting diodes,stoppers,gemalto,camera</x:v>
      </x:c>
      <x:c r="Q20" s="32" t="n">
        <x:v>3623</x:v>
      </x:c>
      <x:c r="R20" s="32" t="n">
        <x:v>37338</x:v>
      </x:c>
      <x:c r="S20" s="33" t="n">
        <x:v>0.09699999999999999</x:v>
      </x:c>
      <x:c r="T20" s="34" t="n">
        <x:v>46163.666666666664</x:v>
      </x:c>
      <x:c r="U20" s="30" t="str">
        <x:v>hue.dt@honestcom.vn</x:v>
      </x:c>
      <x:c r="V20" s="30" t="str">
        <x:v>hue.dt@honestvietnam.com.vn</x:v>
      </x:c>
      <x:c r="W20" s="30" t="str"/>
      <x:c r="X20" s="30" t="str">
        <x:v>+84 24 3582 2456</x:v>
      </x:c>
      <x:c r="Y20" s="30" t="str">
        <x:v>+84 24 3582 2456:状态1/类型1/WhatsApp0</x:v>
      </x:c>
      <x:c r="Z20" s="30" t="str"/>
      <x:c r="AA20" s="30" t="str"/>
      <x:c r="AB20" s="30" t="str"/>
      <x:c r="AC20" s="30" t="str">
        <x:v>hue.dt@honestcom.vn:2; hue.dt@honestvietnam.com.vn:3</x:v>
      </x:c>
      <x:c r="AD20" s="30" t="str"/>
      <x:c r="AE20" s="30" t="str">
        <x:v>camshaft；胶粘带</x:v>
      </x:c>
      <x:c r="AF20" s="30" t="str">
        <x:v>PS-1#&amp;Trục bằng thép</x:v>
      </x:c>
      <x:c r="AG20" s="30" t="str"/>
      <x:c r="AH20" s="30" t="str"/>
      <x:c r="AI20" s="30" t="str"/>
      <x:c r="AJ20" s="30" t="str">
        <x:v>胶带</x:v>
      </x:c>
      <x:c r="AK20" s="30" t="str">
        <x:v>tape-buyers-fuzzy-search</x:v>
      </x:c>
      <x:c r="AL20" s="30" t="str">
        <x:v>UpKuajing customs company contact API</x:v>
      </x:c>
      <x:c r="AM20" s="30" t="str">
        <x:v>https://www.hhtp.gov.vn/media/thong-bao-tuyen-dung/2025_07/2bao-cao-de-xuat-cap-lai-gpmt_compressed-1-389.pdf</x:v>
      </x:c>
      <x:c r="AN20" s="30" t="str">
        <x:v>政府公开文件；2025 年企业环境许可文件列出的副总经理邮箱和公司电话 024 35822456。 验证状态=3。</x:v>
      </x:c>
      <x:c r="AO20" s="34" t="n">
        <x:v>46220</x:v>
      </x:c>
    </x:row>
    <x:row r="21" ht="44" customHeight="1">
      <x:c r="A21" s="30" t="str">
        <x:v>API联系方式已获取</x:v>
      </x:c>
      <x:c r="B21" s="30" t="str">
        <x:v>常规-全球</x:v>
      </x:c>
      <x:c r="C21" s="30" t="str">
        <x:v>胶带</x:v>
      </x:c>
      <x:c r="D21" s="31" t="str">
        <x:v>369752</x:v>
      </x:c>
      <x:c r="E21" s="30" t="str">
        <x:v>genus electrotech ltd.</x:v>
      </x:c>
      <x:c r="F21" s="30" t="str">
        <x:v>印度</x:v>
      </x:c>
      <x:c r="G21" s="30" t="str">
        <x:v>info@genuselectrotech.com</x:v>
      </x:c>
      <x:c r="H21" s="30" t="str">
        <x:f>IF(ISNUMBER(SEARCH(":1",AC21)),"已验证有效",IF(ISNUMBER(SEARCH(":3",AC21)),"验证不确定",IF(ISNUMBER(SEARCH(":0",AC21)),"接口未能检测",IF(ISNUMBER(SEARCH(":2",AC21)),"判定无效",IF(V21&lt;&gt;"","官网已确认-未验证","无邮箱")))))</x:f>
        <x:v>已验证有效</x:v>
      </x:c>
      <x:c r="I21" s="30" t="str">
        <x:v>+91 2836 240 872</x:v>
      </x:c>
      <x:c r="J21" s="30" t="str">
        <x:v>www.genuselectrotech.co.in</x:v>
      </x:c>
      <x:c r="K21" s="35" t="n">
        <x:f>ROUND((IF(H21="已验证有效",40,IF(V21&lt;&gt;"",20,0))+IF(ISNUMBER(SEARCH("状态1",Y21)),25,0)+IF(J21&lt;&gt;"",20,0)+IF(AA21&lt;&gt;"",15,0))/100,2)</x:f>
        <x:v>1</x:v>
      </x:c>
      <x:c r="L21" s="30" t="str">
        <x:v>待联系</x:v>
      </x:c>
      <x:c r="M21" s="30" t="str"/>
      <x:c r="N21" s="30" t="str">
        <x:v>survey no.43, galpadar road. kutch, 370110. india</x:v>
      </x:c>
      <x:c r="O21" s="30" t="str"/>
      <x:c r="P21" s="30" t="str">
        <x:v>three hole,taping machine,mmmm,5w power supply,instruction,pressure switch,housing pcb,format,h pin,ssd 256gb,70w street light,teflon,remo,wash machine,printing,insulated pad,machine,insula,locking sleeve,12w bulb</x:v>
      </x:c>
      <x:c r="Q21" s="32" t="n">
        <x:v>2538</x:v>
      </x:c>
      <x:c r="R21" s="32" t="n">
        <x:v>124084</x:v>
      </x:c>
      <x:c r="S21" s="33" t="n">
        <x:v>0.020499999999999997</x:v>
      </x:c>
      <x:c r="T21" s="34" t="n">
        <x:v>46068.666666666664</x:v>
      </x:c>
      <x:c r="U21" s="30" t="str">
        <x:v>info@genuselectrotech.com; sales@divicon.com</x:v>
      </x:c>
      <x:c r="V21" s="30" t="str"/>
      <x:c r="W21" s="30" t="str">
        <x:v>+91 2836 240 872; +91 99789 59714; +91 99789 59735</x:v>
      </x:c>
      <x:c r="X21" s="30" t="str"/>
      <x:c r="Y21" s="30" t="str">
        <x:v>+91 2836 240 872:状态1/类型1/WhatsApp2; +91 99789 59714:状态1/类型2/WhatsApp1; +91 99789 59735:状态1/类型2/WhatsApp1</x:v>
      </x:c>
      <x:c r="Z21" s="30" t="str">
        <x:v>+91 99789 59714; +91 99789 59735</x:v>
      </x:c>
      <x:c r="AA21" s="30" t="str">
        <x:v>https://www.facebook.com/genuselectrotech10; https://www.instagram.com/genuselectrotechlimited; https://www.linkedin.com/company/genuselectrotechltd</x:v>
      </x:c>
      <x:c r="AB21" s="30" t="str"/>
      <x:c r="AC21" s="30" t="str">
        <x:v>info@genuselectrotech.com:1; sales@divicon.com:2</x:v>
      </x:c>
      <x:c r="AD21" s="30" t="str"/>
      <x:c r="AE21" s="30" t="str">
        <x:v>fixture；ail；vhb tape</x:v>
      </x:c>
      <x:c r="AF21" s="30" t="str">
        <x:v>VHB TAPE PRESSURE HOLDING FIXTURE REST DETAILS AS PER INV &amp;PL VHB TAPE PRESSURE HOLDING FIXTURE REST DETAILS AS PER INV &amp;</x:v>
      </x:c>
      <x:c r="AG21" s="30" t="str"/>
      <x:c r="AH21" s="30" t="str"/>
      <x:c r="AI21" s="30" t="str"/>
      <x:c r="AJ21" s="30" t="str">
        <x:v>胶带</x:v>
      </x:c>
      <x:c r="AK21" s="30" t="str">
        <x:v>tape-buyers-fuzzy-search</x:v>
      </x:c>
      <x:c r="AL21" s="30" t="str">
        <x:v>UpKuajing customs company contact API</x:v>
      </x:c>
      <x:c r="AM21" s="30" t="str"/>
      <x:c r="AN21" s="30" t="str"/>
      <x:c r="AO21" s="34" t="n">
        <x:v>46220</x:v>
      </x:c>
    </x:row>
    <x:row r="22" ht="44" customHeight="1">
      <x:c r="A22" s="30" t="str">
        <x:v>API联系方式已获取</x:v>
      </x:c>
      <x:c r="B22" s="30" t="str">
        <x:v>常规-全球</x:v>
      </x:c>
      <x:c r="C22" s="30" t="str">
        <x:v>胶带</x:v>
      </x:c>
      <x:c r="D22" s="31" t="str">
        <x:v>67944548</x:v>
      </x:c>
      <x:c r="E22" s="30" t="str">
        <x:v>oriental commerce co.ltd.</x:v>
      </x:c>
      <x:c r="F22" s="30" t="str">
        <x:v>韩国</x:v>
      </x:c>
      <x:c r="G22" s="30" t="str">
        <x:v>sim291@hanmail.net</x:v>
      </x:c>
      <x:c r="H22" s="30" t="str">
        <x:f>IF(ISNUMBER(SEARCH(":1",AC22)),"已验证有效",IF(ISNUMBER(SEARCH(":3",AC22)),"验证不确定",IF(ISNUMBER(SEARCH(":0",AC22)),"接口未能检测",IF(ISNUMBER(SEARCH(":2",AC22)),"判定无效",IF(V22&lt;&gt;"","官网已确认-未验证","无邮箱")))))</x:f>
        <x:v>判定无效</x:v>
      </x:c>
      <x:c r="I22" s="30" t="str">
        <x:v>+82 51-266-7110</x:v>
      </x:c>
      <x:c r="J22" s="30" t="str"/>
      <x:c r="K22" s="35" t="n">
        <x:f>ROUND((IF(H22="已验证有效",40,IF(V22&lt;&gt;"",20,0))+IF(ISNUMBER(SEARCH("状态1",Y22)),25,0)+IF(J22&lt;&gt;"",20,0)+IF(AA22&lt;&gt;"",15,0))/100,2)</x:f>
        <x:v>0.25</x:v>
      </x:c>
      <x:c r="L22" s="30" t="str">
        <x:v>待联系</x:v>
      </x:c>
      <x:c r="M22" s="30" t="str"/>
      <x:c r="N22" s="30" t="str">
        <x:v>316-9 janglim-dong,, saha-gu,busan</x:v>
      </x:c>
      <x:c r="O22" s="30" t="str"/>
      <x:c r="P22" s="30" t="str">
        <x:v>ticl,ceo,yan,other textile,products</x:v>
      </x:c>
      <x:c r="Q22" s="32" t="n">
        <x:v>2442</x:v>
      </x:c>
      <x:c r="R22" s="32" t="n">
        <x:v>27697</x:v>
      </x:c>
      <x:c r="S22" s="33" t="n">
        <x:v>0.0882</x:v>
      </x:c>
      <x:c r="T22" s="34" t="n">
        <x:v>46171.666666666664</x:v>
      </x:c>
      <x:c r="U22" s="30" t="str">
        <x:v>sim291@hanmail.net</x:v>
      </x:c>
      <x:c r="V22" s="30" t="str"/>
      <x:c r="W22" s="30" t="str">
        <x:v>+82 51-266-7110</x:v>
      </x:c>
      <x:c r="X22" s="30" t="str"/>
      <x:c r="Y22" s="30" t="str">
        <x:v>+82 51-266-7110:状态1/类型1/WhatsApp2</x:v>
      </x:c>
      <x:c r="Z22" s="30" t="str"/>
      <x:c r="AA22" s="30" t="str"/>
      <x:c r="AB22" s="30" t="str"/>
      <x:c r="AC22" s="30" t="str">
        <x:v>sim291@hanmail.net:2</x:v>
      </x:c>
      <x:c r="AD22" s="30" t="str"/>
      <x:c r="AE22" s="30" t="str">
        <x:v>纺织绝缘胶带</x:v>
      </x:c>
      <x:c r="AF22" s="30" t="str">
        <x:v>CLT-26-2037#&amp;Vải dệt đã cao su hóa 200MIC X 50MM X 25M #&amp;VN</x:v>
      </x:c>
      <x:c r="AG22" s="30" t="str"/>
      <x:c r="AH22" s="30" t="str"/>
      <x:c r="AI22" s="30" t="str"/>
      <x:c r="AJ22" s="30" t="str">
        <x:v>胶带</x:v>
      </x:c>
      <x:c r="AK22" s="30" t="str">
        <x:v>tape-buyers-fuzzy-search</x:v>
      </x:c>
      <x:c r="AL22" s="30" t="str">
        <x:v>UpKuajing customs company contact API</x:v>
      </x:c>
      <x:c r="AM22" s="30" t="str"/>
      <x:c r="AN22" s="30" t="str"/>
      <x:c r="AO22" s="34" t="n">
        <x:v>46220</x:v>
      </x:c>
    </x:row>
    <x:row r="23" ht="44" customHeight="1">
      <x:c r="A23" s="30" t="str">
        <x:v>API联系方式已获取</x:v>
      </x:c>
      <x:c r="B23" s="30" t="str">
        <x:v>常规-全球</x:v>
      </x:c>
      <x:c r="C23" s="30" t="str">
        <x:v>胶带</x:v>
      </x:c>
      <x:c r="D23" s="31" t="str">
        <x:v>1005206</x:v>
      </x:c>
      <x:c r="E23" s="30" t="str">
        <x:v>jworld co.ltd.</x:v>
      </x:c>
      <x:c r="F23" s="30" t="str">
        <x:v>韩国</x:v>
      </x:c>
      <x:c r="G23" s="30" t="str">
        <x:v>jworld@jworld21.com</x:v>
      </x:c>
      <x:c r="H23" s="30" t="str">
        <x:f>IF(ISNUMBER(SEARCH(":1",AC23)),"已验证有效",IF(ISNUMBER(SEARCH(":3",AC23)),"验证不确定",IF(ISNUMBER(SEARCH(":0",AC23)),"接口未能检测",IF(ISNUMBER(SEARCH(":2",AC23)),"判定无效",IF(V23&lt;&gt;"","官网已确认-未验证","无邮箱")))))</x:f>
        <x:v>已验证有效</x:v>
      </x:c>
      <x:c r="I23" s="30" t="str">
        <x:v>+82 31-456-8001</x:v>
      </x:c>
      <x:c r="J23" s="30" t="str"/>
      <x:c r="K23" s="35" t="n">
        <x:f>ROUND((IF(H23="已验证有效",40,IF(V23&lt;&gt;"",20,0))+IF(ISNUMBER(SEARCH("状态1",Y23)),25,0)+IF(J23&lt;&gt;"",20,0)+IF(AA23&lt;&gt;"",15,0))/100,2)</x:f>
        <x:v>0.65</x:v>
      </x:c>
      <x:c r="L23" s="30" t="str">
        <x:v>待联系</x:v>
      </x:c>
      <x:c r="M23" s="30" t="str"/>
      <x:c r="N23" s="30" t="str">
        <x:v>suite 905, 16-1, hansol-technotown, dangjeong-dong, gunpo si, 435-831, gyeonggi-do, korea</x:v>
      </x:c>
      <x:c r="O23" s="30" t="str"/>
      <x:c r="P23" s="30" t="str">
        <x:v>plastic core-rubber-tires,rubber product,printing ink,vitriol,textile fabrics,deco film,aluminum paper,tester,butyl,plastic,gearing,electrical machinery,semi-colloidal graphite,plastics,stamping punching,plastic polyester resin,coil,acrylic resin,web,printer</x:v>
      </x:c>
      <x:c r="Q23" s="32" t="n">
        <x:v>2311</x:v>
      </x:c>
      <x:c r="R23" s="32" t="n">
        <x:v>13162</x:v>
      </x:c>
      <x:c r="S23" s="33" t="n">
        <x:v>0.17559999999999998</x:v>
      </x:c>
      <x:c r="T23" s="34" t="n">
        <x:v>46080.666666666664</x:v>
      </x:c>
      <x:c r="U23" s="30" t="str">
        <x:v>jworld@jworld21.com</x:v>
      </x:c>
      <x:c r="V23" s="30" t="str"/>
      <x:c r="W23" s="30" t="str">
        <x:v>+82 31-456-8001</x:v>
      </x:c>
      <x:c r="X23" s="30" t="str"/>
      <x:c r="Y23" s="30" t="str">
        <x:v>+82 31-456-8001:状态1/类型1/WhatsApp2</x:v>
      </x:c>
      <x:c r="Z23" s="30" t="str"/>
      <x:c r="AA23" s="30" t="str"/>
      <x:c r="AB23" s="30" t="str"/>
      <x:c r="AC23" s="30" t="str">
        <x:v>jworld@jworld21.com:1</x:v>
      </x:c>
      <x:c r="AD23" s="30" t="str"/>
      <x:c r="AE23" s="30" t="str">
        <x:v>deco film</x:v>
      </x:c>
      <x:c r="AF23" s="30" t="str">
        <x:v>RNDT09754#&amp;Băng dính dùng cho điện thoại di động TAPE WP SUB UB 3SIDE VH301_0219 kích thước 78.73*71.37 mm*mm#&amp;VN</x:v>
      </x:c>
      <x:c r="AG23" s="30" t="str"/>
      <x:c r="AH23" s="30" t="str"/>
      <x:c r="AI23" s="30" t="str"/>
      <x:c r="AJ23" s="30" t="str">
        <x:v>胶带</x:v>
      </x:c>
      <x:c r="AK23" s="30" t="str">
        <x:v>tape-buyers-fuzzy-search</x:v>
      </x:c>
      <x:c r="AL23" s="30" t="str">
        <x:v>UpKuajing customs company contact API</x:v>
      </x:c>
      <x:c r="AM23" s="30" t="str"/>
      <x:c r="AN23" s="30" t="str"/>
      <x:c r="AO23" s="34" t="n">
        <x:v>46220</x:v>
      </x:c>
    </x:row>
    <x:row r="24" ht="44" customHeight="1">
      <x:c r="A24" s="30" t="str">
        <x:v>API联系方式已获取</x:v>
      </x:c>
      <x:c r="B24" s="30" t="str">
        <x:v>常规-全球</x:v>
      </x:c>
      <x:c r="C24" s="30" t="str">
        <x:v>胶带</x:v>
      </x:c>
      <x:c r="D24" s="31" t="str">
        <x:v>28403</x:v>
      </x:c>
      <x:c r="E24" s="30" t="str">
        <x:v>suzuki motor de mexico s a</x:v>
      </x:c>
      <x:c r="F24" s="30" t="str">
        <x:v>墨西哥</x:v>
      </x:c>
      <x:c r="G24" s="30" t="str">
        <x:v>privacidad@suzuki.com.mx</x:v>
      </x:c>
      <x:c r="H24" s="30" t="str">
        <x:f>IF(ISNUMBER(SEARCH(":1",AC24)),"已验证有效",IF(ISNUMBER(SEARCH(":3",AC24)),"验证不确定",IF(ISNUMBER(SEARCH(":0",AC24)),"接口未能检测",IF(ISNUMBER(SEARCH(":2",AC24)),"判定无效",IF(V24&lt;&gt;"","官网已确认-未验证","无邮箱")))))</x:f>
        <x:v>判定无效</x:v>
      </x:c>
      <x:c r="I24" s="30" t="str">
        <x:v>+52 55 5365 2626</x:v>
      </x:c>
      <x:c r="J24" s="30" t="str">
        <x:v>http://www.suzuki.com.mx/</x:v>
      </x:c>
      <x:c r="K24" s="35" t="n">
        <x:f>ROUND((IF(H24="已验证有效",40,IF(V24&lt;&gt;"",20,0))+IF(ISNUMBER(SEARCH("状态1",Y24)),25,0)+IF(J24&lt;&gt;"",20,0)+IF(AA24&lt;&gt;"",15,0))/100,2)</x:f>
        <x:v>0.45</x:v>
      </x:c>
      <x:c r="L24" s="30" t="str">
        <x:v>待联系</x:v>
      </x:c>
      <x:c r="M24" s="30" t="str"/>
      <x:c r="N24" s="30" t="str">
        <x:v>privada de la barranca s/n lote 23 cuautitlán, estado de méxico 54763 méxico</x:v>
      </x:c>
      <x:c r="O24" s="30" t="str"/>
      <x:c r="P24" s="30" t="str">
        <x:v>arm,latch,relay box,pinion,manifold,rear view,rear hub,x7,rain,spring pad,cyl head,sas,fork,nks,anten,seat rear,alum,knob,erco,signal</x:v>
      </x:c>
      <x:c r="Q24" s="32" t="n">
        <x:v>2061</x:v>
      </x:c>
      <x:c r="R24" s="32" t="n">
        <x:v>650623</x:v>
      </x:c>
      <x:c r="S24" s="33" t="n">
        <x:v>0.0032</x:v>
      </x:c>
      <x:c r="T24" s="34" t="n">
        <x:v>46166.666666666664</x:v>
      </x:c>
      <x:c r="U24" s="30" t="str">
        <x:v>privacidad@suzuki.com.mx</x:v>
      </x:c>
      <x:c r="V24" s="30" t="str"/>
      <x:c r="W24" s="30" t="str">
        <x:v>+52 55 5365 2626</x:v>
      </x:c>
      <x:c r="X24" s="30" t="str"/>
      <x:c r="Y24" s="30" t="str">
        <x:v>+52 55 5365 2626:状态1/类型3/WhatsApp2</x:v>
      </x:c>
      <x:c r="Z24" s="30" t="str"/>
      <x:c r="AA24" s="30" t="str"/>
      <x:c r="AB24" s="30" t="str"/>
      <x:c r="AC24" s="30" t="str">
        <x:v>privacidad@suzuki.com.mx:2</x:v>
      </x:c>
      <x:c r="AD24" s="30" t="str"/>
      <x:c r="AE24" s="30" t="str">
        <x:v>绿色胶带；黄色带材</x:v>
      </x:c>
      <x:c r="AF24" s="30" t="str">
        <x:v>CINTA COD 83926 54P10 0CE</x:v>
      </x:c>
      <x:c r="AG24" s="30" t="str"/>
      <x:c r="AH24" s="30" t="str"/>
      <x:c r="AI24" s="30" t="str"/>
      <x:c r="AJ24" s="30" t="str">
        <x:v>胶带</x:v>
      </x:c>
      <x:c r="AK24" s="30" t="str">
        <x:v>tape-buyers-fuzzy-search</x:v>
      </x:c>
      <x:c r="AL24" s="30" t="str">
        <x:v>UpKuajing customs company contact API</x:v>
      </x:c>
      <x:c r="AM24" s="30" t="str"/>
      <x:c r="AN24" s="30" t="str"/>
      <x:c r="AO24" s="34" t="n">
        <x:v>46220</x:v>
      </x:c>
    </x:row>
    <x:row r="25" ht="44" customHeight="1">
      <x:c r="A25" s="30" t="str">
        <x:v>已补充有效决策人邮箱</x:v>
      </x:c>
      <x:c r="B25" s="30" t="str">
        <x:v>常规-全球</x:v>
      </x:c>
      <x:c r="C25" s="30" t="str">
        <x:v>胶带</x:v>
      </x:c>
      <x:c r="D25" s="31" t="str">
        <x:v>368379</x:v>
      </x:c>
      <x:c r="E25" s="30" t="str">
        <x:v>haier appliances india pvt.ltd.</x:v>
      </x:c>
      <x:c r="F25" s="30" t="str">
        <x:v>印度</x:v>
      </x:c>
      <x:c r="G25" s="30" t="str">
        <x:v>chuktiii@gmail.com</x:v>
      </x:c>
      <x:c r="H25" s="30" t="str">
        <x:f>IF(ISNUMBER(SEARCH(":1",AC25)),"已验证有效",IF(ISNUMBER(SEARCH(":3",AC25)),"验证不确定",IF(ISNUMBER(SEARCH(":0",AC25)),"接口未能检测",IF(ISNUMBER(SEARCH(":2",AC25)),"判定无效",IF(V25&lt;&gt;"","官网已确认-未验证","无邮箱")))))</x:f>
        <x:v>已验证有效</x:v>
      </x:c>
      <x:c r="I25" s="30" t="str">
        <x:v>+91 1800 419 9999</x:v>
      </x:c>
      <x:c r="J25" s="30" t="str">
        <x:v>www.haier.com</x:v>
      </x:c>
      <x:c r="K25" s="35" t="n">
        <x:f>ROUND((IF(H25="已验证有效",40,IF(V25&lt;&gt;"",20,0))+IF(ISNUMBER(SEARCH("状态1",Y25)),25,0)+IF(J25&lt;&gt;"",20,0)+IF(AA25&lt;&gt;"",15,0))/100,2)</x:f>
        <x:v>1</x:v>
      </x:c>
      <x:c r="L25" s="30" t="str">
        <x:v>待联系</x:v>
      </x:c>
      <x:c r="M25" s="30" t="str"/>
      <x:c r="N25" s="30" t="str">
        <x:v>b-1/a-14, mohan co-operative industrial estate, mathura road, new delhi-110044</x:v>
      </x:c>
      <x:c r="O25" s="30" t="str"/>
      <x:c r="P25" s="30" t="str">
        <x:v>cam part,gum,rys,connect parts,partition board,harness,opal,demo kit,t series,kick,brown carton,side board,pin mould,alfa,dry reed,damping spring,shock,deep gray,front cover,t seal</x:v>
      </x:c>
      <x:c r="Q25" s="32" t="n">
        <x:v>1941</x:v>
      </x:c>
      <x:c r="R25" s="32" t="n">
        <x:v>308789</x:v>
      </x:c>
      <x:c r="S25" s="33" t="n">
        <x:v>0.0063</x:v>
      </x:c>
      <x:c r="T25" s="34" t="n">
        <x:v>45655.666666666664</x:v>
      </x:c>
      <x:c r="U25" s="30" t="str">
        <x:v>info@haierindia.com; chuktiii@gmail.com</x:v>
      </x:c>
      <x:c r="V25" s="30" t="str">
        <x:v>customercare@haierindia.com</x:v>
      </x:c>
      <x:c r="W25" s="30" t="str"/>
      <x:c r="X25" s="30" t="str">
        <x:v>+91 1800 419 9999; +91 1800 102 9999</x:v>
      </x:c>
      <x:c r="Y25" s="30" t="str">
        <x:v>+91 1800 419 9999:状态1/类型3/WhatsApp2; +91 1800 102 9999:状态3/类型0/WhatsApp0</x:v>
      </x:c>
      <x:c r="Z25" s="30" t="str">
        <x:v>+91 85530 49999</x:v>
      </x:c>
      <x:c r="AA25" s="30" t="str">
        <x:v>https://www.linkedin.com/in/madhumay-panigrahi-528ab842; https://www.facebook.com/madhumay.panigrahi</x:v>
      </x:c>
      <x:c r="AB25" s="30" t="str"/>
      <x:c r="AC25" s="30" t="str">
        <x:v>info@haierindia.com:3; chuktiii@gmail.com:1; customercare@haierindia.com:3</x:v>
      </x:c>
      <x:c r="AD25" s="30" t="str"/>
      <x:c r="AE25" s="30" t="str">
        <x:v>包装胶带；t code；e 80；x7；model；装配部件</x:v>
      </x:c>
      <x:c r="AF25" s="30" t="str">
        <x:v>PACKING TAPE 800MX72X0.045MM 50P7GT-P PART CODE: 0090303389MODEL NO 50P7GT-P (ASSEMBLY COMPONENT)PACKING TAPE 800MX72X0.045MM 50P7GT-P PART CODE: 0090303389</x:v>
      </x:c>
      <x:c r="AG25" s="30" t="str"/>
      <x:c r="AH25" s="30" t="str"/>
      <x:c r="AI25" s="30" t="str"/>
      <x:c r="AJ25" s="30" t="str">
        <x:v>胶带</x:v>
      </x:c>
      <x:c r="AK25" s="30" t="str">
        <x:v>tape-buyers-fuzzy-search</x:v>
      </x:c>
      <x:c r="AL25" s="30" t="str">
        <x:v>UpKuajing customs company contact API; UpKuajing reviewed person contact API</x:v>
      </x:c>
      <x:c r="AM25" s="30" t="str">
        <x:v>https://www.haier.com/in/blogs/hassle-free-installation-and-service-support-for-haier-led-tvs-in-india.shtml</x:v>
      </x:c>
      <x:c r="AN25" s="30" t="str">
        <x:v>企业官网；Haier India 官网公布的客服邮箱；同时公布电话 1800-419-9999、1800-102-9999 和 WhatsApp 8553049999。 验证状态=3。; 人物补充：Madhumay Panigrahi（Branch Logistics Manager）；物流岗位，且公司精确匹配 Haier India。 排除 madhumay.panigrahi@havells.com：邮箱域名属于 Havells，与当前 Haier 实体不一致</x:v>
      </x:c>
      <x:c r="AO25" s="34" t="n">
        <x:v>46220</x:v>
      </x:c>
    </x:row>
    <x:row r="26" ht="44" customHeight="1">
      <x:c r="A26" s="30" t="str">
        <x:v>API联系方式已获取</x:v>
      </x:c>
      <x:c r="B26" s="30" t="str">
        <x:v>常规-全球</x:v>
      </x:c>
      <x:c r="C26" s="30" t="str">
        <x:v>胶带</x:v>
      </x:c>
      <x:c r="D26" s="31" t="str">
        <x:v>22316517</x:v>
      </x:c>
      <x:c r="E26" s="30" t="str">
        <x:v>TRIUMPH INTERNATIONAL (INDIA) PRIVATE LIMITED</x:v>
      </x:c>
      <x:c r="F26" s="30" t="str">
        <x:v>印度</x:v>
      </x:c>
      <x:c r="G26" s="30" t="str">
        <x:v>murugan.selvaraj@triumph.com</x:v>
      </x:c>
      <x:c r="H26" s="30" t="str">
        <x:f>IF(ISNUMBER(SEARCH(":1",AC26)),"已验证有效",IF(ISNUMBER(SEARCH(":3",AC26)),"验证不确定",IF(ISNUMBER(SEARCH(":0",AC26)),"接口未能检测",IF(ISNUMBER(SEARCH(":2",AC26)),"判定无效",IF(V26&lt;&gt;"","官网已确认-未验证","无邮箱")))))</x:f>
        <x:v>已验证有效</x:v>
      </x:c>
      <x:c r="I26" s="30" t="str"/>
      <x:c r="J26" s="30" t="str">
        <x:v>www.triumph.com</x:v>
      </x:c>
      <x:c r="K26" s="35" t="n">
        <x:f>ROUND((IF(H26="已验证有效",40,IF(V26&lt;&gt;"",20,0))+IF(ISNUMBER(SEARCH("状态1",Y26)),25,0)+IF(J26&lt;&gt;"",20,0)+IF(AA26&lt;&gt;"",15,0))/100,2)</x:f>
        <x:v>0.6</x:v>
      </x:c>
      <x:c r="L26" s="30" t="str">
        <x:v>待联系</x:v>
      </x:c>
      <x:c r="M26" s="30" t="str"/>
      <x:c r="N26" s="30" t="str">
        <x:v>240B, SENGUNDRAM VILLAGE SINGAPERUMAL KOIL</x:v>
      </x:c>
      <x:c r="O26" s="30" t="str"/>
      <x:c r="P26" s="30" t="str">
        <x:v>Women's lingerie, as well as clothing products for in-house and leisure purposes</x:v>
      </x:c>
      <x:c r="Q26" s="32" t="n">
        <x:v>1878</x:v>
      </x:c>
      <x:c r="R26" s="32" t="n">
        <x:v>42532</x:v>
      </x:c>
      <x:c r="S26" s="33" t="n">
        <x:v>0.044199999999999996</x:v>
      </x:c>
      <x:c r="T26" s="34" t="n">
        <x:v>45865.666666666664</x:v>
      </x:c>
      <x:c r="U26" s="30" t="str">
        <x:v>murugan.selvaraj@triumph.com</x:v>
      </x:c>
      <x:c r="V26" s="30" t="str"/>
      <x:c r="W26" s="30" t="str"/>
      <x:c r="X26" s="30" t="str"/>
      <x:c r="Y26" s="30" t="str"/>
      <x:c r="Z26" s="30" t="str"/>
      <x:c r="AA26" s="30" t="str"/>
      <x:c r="AB26" s="30" t="str"/>
      <x:c r="AC26" s="30" t="str">
        <x:v>murugan.selvaraj@triumph.com:1</x:v>
      </x:c>
      <x:c r="AD26" s="30" t="str"/>
      <x:c r="AE26" s="30" t="str"/>
      <x:c r="AF26" s="30" t="str">
        <x:v>ITEM 3329/22 COLOR OP3701-ELASTIC TAPE ITEM 3329/22 COLOR OP3701</x:v>
      </x:c>
      <x:c r="AG26" s="30" t="str"/>
      <x:c r="AH26" s="30" t="str"/>
      <x:c r="AI26" s="30" t="str"/>
      <x:c r="AJ26" s="30" t="str">
        <x:v>胶带</x:v>
      </x:c>
      <x:c r="AK26" s="30" t="str">
        <x:v>tape-buyers-fuzzy-search</x:v>
      </x:c>
      <x:c r="AL26" s="30" t="str">
        <x:v>UpKuajing customs company contact API</x:v>
      </x:c>
      <x:c r="AM26" s="30" t="str"/>
      <x:c r="AN26" s="30" t="str"/>
      <x:c r="AO26" s="34" t="n">
        <x:v>46220</x:v>
      </x:c>
    </x:row>
    <x:row r="27" ht="44" customHeight="1">
      <x:c r="A27" s="30" t="str">
        <x:v>API联系方式已获取</x:v>
      </x:c>
      <x:c r="B27" s="30" t="str">
        <x:v>常规-全球</x:v>
      </x:c>
      <x:c r="C27" s="30" t="str">
        <x:v>胶带</x:v>
      </x:c>
      <x:c r="D27" s="31" t="str">
        <x:v>20410195</x:v>
      </x:c>
      <x:c r="E27" s="30" t="str">
        <x:v>ASTI ELECTRONICS CORPORATION</x:v>
      </x:c>
      <x:c r="F27" s="30" t="str">
        <x:v>越南</x:v>
      </x:c>
      <x:c r="G27" s="30" t="str">
        <x:v>admin@asti.com.vn</x:v>
      </x:c>
      <x:c r="H27" s="30" t="str">
        <x:f>IF(ISNUMBER(SEARCH(":1",AC27)),"已验证有效",IF(ISNUMBER(SEARCH(":3",AC27)),"验证不确定",IF(ISNUMBER(SEARCH(":0",AC27)),"接口未能检测",IF(ISNUMBER(SEARCH(":2",AC27)),"判定无效",IF(V27&lt;&gt;"","官网已确认-未验证","无邮箱")))))</x:f>
        <x:v>已验证有效</x:v>
      </x:c>
      <x:c r="I27" s="30" t="str">
        <x:v>+84 274 2742 464</x:v>
      </x:c>
      <x:c r="J27" s="30" t="str">
        <x:v>www.asti.com.vn</x:v>
      </x:c>
      <x:c r="K27" s="35" t="n">
        <x:f>ROUND((IF(H27="已验证有效",40,IF(V27&lt;&gt;"",20,0))+IF(ISNUMBER(SEARCH("状态1",Y27)),25,0)+IF(J27&lt;&gt;"",20,0)+IF(AA27&lt;&gt;"",15,0))/100,2)</x:f>
        <x:v>0.85</x:v>
      </x:c>
      <x:c r="L27" s="30" t="str">
        <x:v>待联系</x:v>
      </x:c>
      <x:c r="M27" s="30" t="str"/>
      <x:c r="N27" s="30" t="str">
        <x:v>DONG AN QUARTER , TAN DONG HIEP WARD , DI AN DIST</x:v>
      </x:c>
      <x:c r="O27" s="30" t="str"/>
      <x:c r="P27" s="30" t="str"/>
      <x:c r="Q27" s="32" t="n">
        <x:v>1828</x:v>
      </x:c>
      <x:c r="R27" s="32" t="n">
        <x:v>131760</x:v>
      </x:c>
      <x:c r="S27" s="33" t="n">
        <x:v>0.0139</x:v>
      </x:c>
      <x:c r="T27" s="34" t="n">
        <x:v>46103.666666666664</x:v>
      </x:c>
      <x:c r="U27" s="30" t="str">
        <x:v>admin@asti.com.vn; info@asti.com</x:v>
      </x:c>
      <x:c r="V27" s="30" t="str"/>
      <x:c r="W27" s="30" t="str">
        <x:v>+84 274 2742 464; +84 274 3742 464; +84 274 3742 594; 84274742464</x:v>
      </x:c>
      <x:c r="X27" s="30" t="str"/>
      <x:c r="Y27" s="30" t="str">
        <x:v>+84 274 2742 464:状态1/类型1/WhatsApp2; +84 274 3742 464:状态1/类型1/WhatsApp2; +84 274 3742 594:状态1/类型1/WhatsApp2; 84274742464:状态2/类型3/WhatsApp2</x:v>
      </x:c>
      <x:c r="Z27" s="30" t="str"/>
      <x:c r="AA27" s="30" t="str"/>
      <x:c r="AB27" s="30" t="str"/>
      <x:c r="AC27" s="30" t="str">
        <x:v>admin@asti.com.vn:1; info@asti.com:1</x:v>
      </x:c>
      <x:c r="AD27" s="30" t="str"/>
      <x:c r="AE27" s="30" t="str"/>
      <x:c r="AF27" s="30" t="str">
        <x:v>A003BK#&amp;amp;Tape glue for cluster conductor electric motorcycle (Tape) 0.1X19X25:BLACK, 100% brand new</x:v>
      </x:c>
      <x:c r="AG27" s="30" t="str"/>
      <x:c r="AH27" s="30" t="str"/>
      <x:c r="AI27" s="30" t="str"/>
      <x:c r="AJ27" s="30" t="str">
        <x:v>胶带</x:v>
      </x:c>
      <x:c r="AK27" s="30" t="str">
        <x:v>tape-buyers-fuzzy-search</x:v>
      </x:c>
      <x:c r="AL27" s="30" t="str">
        <x:v>UpKuajing customs company contact API</x:v>
      </x:c>
      <x:c r="AM27" s="30" t="str"/>
      <x:c r="AN27" s="30" t="str"/>
      <x:c r="AO27" s="34" t="n">
        <x:v>46220</x:v>
      </x:c>
    </x:row>
    <x:row r="28" ht="44" customHeight="1">
      <x:c r="A28" s="30" t="str">
        <x:v>API联系方式已获取</x:v>
      </x:c>
      <x:c r="B28" s="30" t="str">
        <x:v>常规-全球</x:v>
      </x:c>
      <x:c r="C28" s="30" t="str">
        <x:v>胶带</x:v>
      </x:c>
      <x:c r="D28" s="31" t="str">
        <x:v>8206989</x:v>
      </x:c>
      <x:c r="E28" s="30" t="str">
        <x:v>triumph international india</x:v>
      </x:c>
      <x:c r="F28" s="30" t="str">
        <x:v>印度</x:v>
      </x:c>
      <x:c r="G28" s="30" t="str">
        <x:v>info.india@triumph.com</x:v>
      </x:c>
      <x:c r="H28" s="30" t="str">
        <x:f>IF(ISNUMBER(SEARCH(":1",AC28)),"已验证有效",IF(ISNUMBER(SEARCH(":3",AC28)),"验证不确定",IF(ISNUMBER(SEARCH(":0",AC28)),"接口未能检测",IF(ISNUMBER(SEARCH(":2",AC28)),"判定无效",IF(V28&lt;&gt;"","官网已确认-未验证","无邮箱")))))</x:f>
        <x:v>已验证有效</x:v>
      </x:c>
      <x:c r="I28" s="30" t="str">
        <x:v>+91 44 2842 0743</x:v>
      </x:c>
      <x:c r="J28" s="30" t="str">
        <x:v>http://www.triumph.com</x:v>
      </x:c>
      <x:c r="K28" s="35" t="n">
        <x:f>ROUND((IF(H28="已验证有效",40,IF(V28&lt;&gt;"",20,0))+IF(ISNUMBER(SEARCH("状态1",Y28)),25,0)+IF(J28&lt;&gt;"",20,0)+IF(AA28&lt;&gt;"",15,0))/100,2)</x:f>
        <x:v>0.85</x:v>
      </x:c>
      <x:c r="L28" s="30" t="str">
        <x:v>待联系</x:v>
      </x:c>
      <x:c r="M28" s="30" t="str"/>
      <x:c r="N28" s="30" t="str">
        <x:v>no 244 anna salai em n em building chennai tamil nadu</x:v>
      </x:c>
      <x:c r="O28" s="30" t="str"/>
      <x:c r="P28" s="30" t="str">
        <x:v>1 8m,lye,ice,wheel,8k,metal slide,wired bra,white po,micromesh,keyboard,simplex,iu,s20,cod,5d,c printed fabric,ribbon item,spb,laminated foam,board</x:v>
      </x:c>
      <x:c r="Q28" s="32" t="n">
        <x:v>1677</x:v>
      </x:c>
      <x:c r="R28" s="32" t="n">
        <x:v>51044</x:v>
      </x:c>
      <x:c r="S28" s="33" t="n">
        <x:v>0.0329</x:v>
      </x:c>
      <x:c r="T28" s="34" t="n">
        <x:v>46058.666666666664</x:v>
      </x:c>
      <x:c r="U28" s="30" t="str">
        <x:v>info.india@triumph.com</x:v>
      </x:c>
      <x:c r="V28" s="30" t="str"/>
      <x:c r="W28" s="30" t="str">
        <x:v>+91 44 2842 0743</x:v>
      </x:c>
      <x:c r="X28" s="30" t="str"/>
      <x:c r="Y28" s="30" t="str">
        <x:v>+91 44 2842 0743:状态1/类型1/WhatsApp2</x:v>
      </x:c>
      <x:c r="Z28" s="30" t="str"/>
      <x:c r="AA28" s="30" t="str"/>
      <x:c r="AB28" s="30" t="str"/>
      <x:c r="AC28" s="30" t="str">
        <x:v>info.india@triumph.com:1</x:v>
      </x:c>
      <x:c r="AD28" s="30" t="str"/>
      <x:c r="AE28" s="30" t="str">
        <x:v>eye tape；pearl</x:v>
      </x:c>
      <x:c r="AF28" s="30" t="str">
        <x:v>PRECUT EYE TAPE 000 S0182S 38MM A PEARL GR 38198 PO 4512863360 12863362PRECUT EYE TAPE</x:v>
      </x:c>
      <x:c r="AG28" s="30" t="str"/>
      <x:c r="AH28" s="30" t="str"/>
      <x:c r="AI28" s="30" t="str"/>
      <x:c r="AJ28" s="30" t="str">
        <x:v>胶带</x:v>
      </x:c>
      <x:c r="AK28" s="30" t="str">
        <x:v>tape-buyers-fuzzy-search</x:v>
      </x:c>
      <x:c r="AL28" s="30" t="str">
        <x:v>UpKuajing customs company contact API</x:v>
      </x:c>
      <x:c r="AM28" s="30" t="str"/>
      <x:c r="AN28" s="30" t="str"/>
      <x:c r="AO28" s="34" t="n">
        <x:v>46220</x:v>
      </x:c>
    </x:row>
    <x:row r="29" ht="44" customHeight="1">
      <x:c r="A29" s="30" t="str">
        <x:v>API联系方式已获取</x:v>
      </x:c>
      <x:c r="B29" s="30" t="str">
        <x:v>常规-全球</x:v>
      </x:c>
      <x:c r="C29" s="30" t="str">
        <x:v>胶带</x:v>
      </x:c>
      <x:c r="D29" s="31" t="str">
        <x:v>78071611</x:v>
      </x:c>
      <x:c r="E29" s="30" t="str">
        <x:v>INNO FLEX</x:v>
      </x:c>
      <x:c r="F29" s="30" t="str">
        <x:v>韩国</x:v>
      </x:c>
      <x:c r="G29" s="30" t="str">
        <x:v>cosmotech@korea.com</x:v>
      </x:c>
      <x:c r="H29" s="30" t="str">
        <x:f>IF(ISNUMBER(SEARCH(":1",AC29)),"已验证有效",IF(ISNUMBER(SEARCH(":3",AC29)),"验证不确定",IF(ISNUMBER(SEARCH(":0",AC29)),"接口未能检测",IF(ISNUMBER(SEARCH(":2",AC29)),"判定无效",IF(V29&lt;&gt;"","官网已确认-未验证","无邮箱")))))</x:f>
        <x:v>验证不确定</x:v>
      </x:c>
      <x:c r="I29" s="30" t="str">
        <x:v>+82 32-817-6552</x:v>
      </x:c>
      <x:c r="J29" s="30" t="str"/>
      <x:c r="K29" s="35" t="n">
        <x:f>ROUND((IF(H29="已验证有效",40,IF(V29&lt;&gt;"",20,0))+IF(ISNUMBER(SEARCH("状态1",Y29)),25,0)+IF(J29&lt;&gt;"",20,0)+IF(AA29&lt;&gt;"",15,0))/100,2)</x:f>
        <x:v>0.25</x:v>
      </x:c>
      <x:c r="L29" s="30" t="str">
        <x:v>待联系</x:v>
      </x:c>
      <x:c r="M29" s="30" t="str"/>
      <x:c r="N29" s="30" t="str">
        <x:v>702-10, gojan-dong, namdong-gu, incheon, 405-818 korea</x:v>
      </x:c>
      <x:c r="O29" s="30" t="str"/>
      <x:c r="P29" s="30" t="str">
        <x:v>plated circuit,deco film,printed circuits,electronic intergrated circuits,industrial steel material,loudspeaker,pressing punching,stamping punching,sticker,plastic product,plastics,connector</x:v>
      </x:c>
      <x:c r="Q29" s="32" t="n">
        <x:v>1517</x:v>
      </x:c>
      <x:c r="R29" s="32" t="n">
        <x:v>7993</x:v>
      </x:c>
      <x:c r="S29" s="33" t="n">
        <x:v>0.1898</x:v>
      </x:c>
      <x:c r="T29" s="34" t="n">
        <x:v>45894.666666666664</x:v>
      </x:c>
      <x:c r="U29" s="30" t="str">
        <x:v>cosmotech@korea.com</x:v>
      </x:c>
      <x:c r="V29" s="30" t="str"/>
      <x:c r="W29" s="30" t="str">
        <x:v>+82 32-817-6552</x:v>
      </x:c>
      <x:c r="X29" s="30" t="str"/>
      <x:c r="Y29" s="30" t="str">
        <x:v>+82 32-817-6552:状态1/类型1/WhatsApp2</x:v>
      </x:c>
      <x:c r="Z29" s="30" t="str"/>
      <x:c r="AA29" s="30" t="str"/>
      <x:c r="AB29" s="30" t="str"/>
      <x:c r="AC29" s="30" t="str">
        <x:v>cosmotech@korea.com:3</x:v>
      </x:c>
      <x:c r="AD29" s="30" t="str">
        <x:v>TAPE-1 P1 DUO（胶带型号）</x:v>
      </x:c>
      <x:c r="AE29" s="30" t="str">
        <x:v>胶带；塑料；自粘；再生材料</x:v>
      </x:c>
      <x:c r="AF29" s="30" t="str">
        <x:v>TAPE-1 P1 DUO#&amp;Miếng plastic tự dán TAPE-1 P1 DUO (TOP TAPE TESA61885), kt 120.08*12.50mm, hàng mới 100% tái xuất mục 44 TK 107230146220#&amp;KR</x:v>
      </x:c>
      <x:c r="AG29" s="30" t="str">
        <x:v>胶粘带；自粘胶带；塑料胶带；双面胶带；德莎胶带</x:v>
      </x:c>
      <x:c r="AH29" s="30" t="str">
        <x:v>塑料树脂；胶粘剂；聚合物；添加剂；再生塑料</x:v>
      </x:c>
      <x:c r="AI29" s="30" t="str">
        <x:v>包装；标签制作；手工艺；电子装配；办公用途</x:v>
      </x:c>
      <x:c r="AJ29" s="30" t="str">
        <x:v>胶带</x:v>
      </x:c>
      <x:c r="AK29" s="30" t="str">
        <x:v>tape-buyers-fuzzy-search</x:v>
      </x:c>
      <x:c r="AL29" s="30" t="str">
        <x:v>UpKuajing customs company contact API</x:v>
      </x:c>
      <x:c r="AM29" s="30" t="str"/>
      <x:c r="AN29" s="30" t="str"/>
      <x:c r="AO29" s="34" t="n">
        <x:v>46220</x:v>
      </x:c>
    </x:row>
    <x:row r="30" ht="44" customHeight="1">
      <x:c r="A30" s="30" t="str">
        <x:v>API联系方式已获取</x:v>
      </x:c>
      <x:c r="B30" s="30" t="str">
        <x:v>常规-全球</x:v>
      </x:c>
      <x:c r="C30" s="30" t="str">
        <x:v>胶带</x:v>
      </x:c>
      <x:c r="D30" s="31" t="str">
        <x:v>5141777</x:v>
      </x:c>
      <x:c r="E30" s="30" t="str">
        <x:v>han soll textiles ltd.</x:v>
      </x:c>
      <x:c r="F30" s="30" t="str">
        <x:v>韩国</x:v>
      </x:c>
      <x:c r="G30" s="30" t="str">
        <x:v>annapark@hansoll.com</x:v>
      </x:c>
      <x:c r="H30" s="30" t="str">
        <x:f>IF(ISNUMBER(SEARCH(":1",AC30)),"已验证有效",IF(ISNUMBER(SEARCH(":3",AC30)),"验证不确定",IF(ISNUMBER(SEARCH(":0",AC30)),"接口未能检测",IF(ISNUMBER(SEARCH(":2",AC30)),"判定无效",IF(V30&lt;&gt;"","官网已确认-未验证","无邮箱")))))</x:f>
        <x:v>已验证有效</x:v>
      </x:c>
      <x:c r="I30" s="30" t="str">
        <x:v>+1 212-764-4270</x:v>
      </x:c>
      <x:c r="J30" s="30" t="str">
        <x:v>http://www.hansoll.com/</x:v>
      </x:c>
      <x:c r="K30" s="35" t="n">
        <x:f>ROUND((IF(H30="已验证有效",40,IF(V30&lt;&gt;"",20,0))+IF(ISNUMBER(SEARCH("状态1",Y30)),25,0)+IF(J30&lt;&gt;"",20,0)+IF(AA30&lt;&gt;"",15,0))/100,2)</x:f>
        <x:v>0.85</x:v>
      </x:c>
      <x:c r="L30" s="30" t="str">
        <x:v>待联系</x:v>
      </x:c>
      <x:c r="M30" s="30" t="str"/>
      <x:c r="N30" s="30" t="str">
        <x:v>525 seventh avenue, suite 1401 new york , new york 10018 united states</x:v>
      </x:c>
      <x:c r="O30" s="30" t="str"/>
      <x:c r="P30" s="30" t="str">
        <x:v>cot,plastic machine,plastic product,crochd,synthetic fibres,stitch-bonded fibre fabrics,textile fabrics,composition leather,dyed woven cotton fabric,waterproof paper,rey,twine,cables of abaca,texturd polyester,dresses,sewing thread of synthetic staple fibres,rayon,statuettes of plastics,fabrics of synthetic fibres,tailoring machine</x:v>
      </x:c>
      <x:c r="Q30" s="32" t="n">
        <x:v>1476</x:v>
      </x:c>
      <x:c r="R30" s="32" t="n">
        <x:v>138172</x:v>
      </x:c>
      <x:c r="S30" s="33" t="n">
        <x:v>0.010700000000000001</x:v>
      </x:c>
      <x:c r="T30" s="34" t="n">
        <x:v>46048.666666666664</x:v>
      </x:c>
      <x:c r="U30" s="30" t="str">
        <x:v>annapark@hansoll.com</x:v>
      </x:c>
      <x:c r="V30" s="30" t="str"/>
      <x:c r="W30" s="30" t="str">
        <x:v>+1 212-764-4270</x:v>
      </x:c>
      <x:c r="X30" s="30" t="str"/>
      <x:c r="Y30" s="30" t="str">
        <x:v>+1 212-764-4270:状态1/类型3/WhatsApp2</x:v>
      </x:c>
      <x:c r="Z30" s="30" t="str"/>
      <x:c r="AA30" s="30" t="str"/>
      <x:c r="AB30" s="30" t="str"/>
      <x:c r="AC30" s="30" t="str">
        <x:v>annapark@hansoll.com:1</x:v>
      </x:c>
      <x:c r="AD30" s="30" t="str"/>
      <x:c r="AE30" s="30" t="str">
        <x:v>塑料配件</x:v>
      </x:c>
      <x:c r="AF30" s="30" t="str">
        <x:v>DÂY CHỐNG DÃN 0608 (MOBILON TAPE SHL-0608; DÂY VIỀN 0608; Kích thước: 6 MM x 0.08 MM; 826,491.41 MÉT; SỬ DỤNG TRONG MAY MẶC; CHẤT LIỆU: POLYURE THANE; HÀNG MỚI 100%)#&amp;KR</x:v>
      </x:c>
      <x:c r="AG30" s="30" t="str"/>
      <x:c r="AH30" s="30" t="str"/>
      <x:c r="AI30" s="30" t="str"/>
      <x:c r="AJ30" s="30" t="str">
        <x:v>胶带</x:v>
      </x:c>
      <x:c r="AK30" s="30" t="str">
        <x:v>tape-buyers-fuzzy-search</x:v>
      </x:c>
      <x:c r="AL30" s="30" t="str">
        <x:v>UpKuajing customs company contact API</x:v>
      </x:c>
      <x:c r="AM30" s="30" t="str"/>
      <x:c r="AN30" s="30" t="str"/>
      <x:c r="AO30" s="34" t="n">
        <x:v>46220</x:v>
      </x:c>
    </x:row>
    <x:row r="31" ht="44" customHeight="1">
      <x:c r="A31" s="30" t="str">
        <x:v>API联系方式已获取</x:v>
      </x:c>
      <x:c r="B31" s="30" t="str">
        <x:v>常规-全球</x:v>
      </x:c>
      <x:c r="C31" s="30" t="str">
        <x:v>胶带；遮蔽膜</x:v>
      </x:c>
      <x:c r="D31" s="31" t="str">
        <x:v>20482013</x:v>
      </x:c>
      <x:c r="E31" s="30" t="str">
        <x:v>AJIT INDUSTRIES PRIVATE LIMITED</x:v>
      </x:c>
      <x:c r="F31" s="30" t="str">
        <x:v>印度</x:v>
      </x:c>
      <x:c r="G31" s="30" t="str">
        <x:v>marketing@ajitindustries.com</x:v>
      </x:c>
      <x:c r="H31" s="30" t="str">
        <x:f>IF(ISNUMBER(SEARCH(":1",AC31)),"已验证有效",IF(ISNUMBER(SEARCH(":3",AC31)),"验证不确定",IF(ISNUMBER(SEARCH(":0",AC31)),"接口未能检测",IF(ISNUMBER(SEARCH(":2",AC31)),"判定无效",IF(V31&lt;&gt;"","官网已确认-未验证","无邮箱")))))</x:f>
        <x:v>已验证有效</x:v>
      </x:c>
      <x:c r="I31" s="30" t="str">
        <x:v>+91 80 6882 0110</x:v>
      </x:c>
      <x:c r="J31" s="30" t="str">
        <x:v>www.ajitindustries.com</x:v>
      </x:c>
      <x:c r="K31" s="35" t="n">
        <x:f>ROUND((IF(H31="已验证有效",40,IF(V31&lt;&gt;"",20,0))+IF(ISNUMBER(SEARCH("状态1",Y31)),25,0)+IF(J31&lt;&gt;"",20,0)+IF(AA31&lt;&gt;"",15,0))/100,2)</x:f>
        <x:v>1</x:v>
      </x:c>
      <x:c r="L31" s="30" t="str">
        <x:v>待联系</x:v>
      </x:c>
      <x:c r="M31" s="30" t="str"/>
      <x:c r="N31" s="30" t="str">
        <x:v>NETAJI SUBHASH PLACE, OPPOSITE WAZIRPUR DTC DEPOT, PITAMPURA , 414, 4TH FLOOR, D MALL</x:v>
      </x:c>
      <x:c r="O31" s="30" t="str"/>
      <x:c r="P31" s="30" t="str"/>
      <x:c r="Q31" s="32" t="n">
        <x:v>1440</x:v>
      </x:c>
      <x:c r="R31" s="32" t="n">
        <x:v>10572</x:v>
      </x:c>
      <x:c r="S31" s="33" t="n">
        <x:v>0.1362</x:v>
      </x:c>
      <x:c r="T31" s="34" t="n">
        <x:v>45868.666666666664</x:v>
      </x:c>
      <x:c r="U31" s="30" t="str">
        <x:v>marketing@ajitindustries.com; suneet@ajitindustries.com</x:v>
      </x:c>
      <x:c r="V31" s="30" t="str"/>
      <x:c r="W31" s="30" t="str">
        <x:v>01149010101; +91 80 6882 0110; +91 82879 48064; +91 95996 77993</x:v>
      </x:c>
      <x:c r="X31" s="30" t="str"/>
      <x:c r="Y31" s="30" t="str">
        <x:v>01149010101:状态2/类型0/WhatsApp0; +91 80 6882 0110:状态1/类型1/WhatsApp2; +91 82879 48064:状态1/类型2/WhatsApp1; +91 95996 77993:状态1/类型2/WhatsApp1</x:v>
      </x:c>
      <x:c r="Z31" s="30" t="str">
        <x:v>+91 82879 48064; +91 95996 77993</x:v>
      </x:c>
      <x:c r="AA31" s="30" t="str">
        <x:v>https://www.youtube.com/watch?v=TUJvH6kYIWE</x:v>
      </x:c>
      <x:c r="AB31" s="30" t="str"/>
      <x:c r="AC31" s="30" t="str">
        <x:v>marketing@ajitindustries.com:1; suneet@ajitindustries.com:1</x:v>
      </x:c>
      <x:c r="AD31" s="30" t="str">
        <x:v>PE遮蔽膜</x:v>
      </x:c>
      <x:c r="AE31" s="30" t="str">
        <x:v>PE；遮蔽膜；工业用途</x:v>
      </x:c>
      <x:c r="AF31" s="30" t="str">
        <x:v>MASKING TAPE (IN JUMBO ROLLS)PRODUCT CODE:770UU;COLOR:BEIGE;SIZE:1570mm x 2000m (RLS:53)(PIMS NO:ORIGINAL DPIIT-PPR-2025MASKING TAPE (IN JUMBO ROLLS)PRODUCT CODE:770UU;COLOR:BEIGE;; PE MASKING FILM IN LARGE ROLL SIZE: 2700MM*1600M (ROLL 600)(FOR INDUSTRIAL USE)PE MASKING FILM IN</x:v>
      </x:c>
      <x:c r="AG31" s="30" t="str">
        <x:v>PE保护膜；PE遮蔽胶带；聚乙烯遮蔽膜；工业遮蔽膜；PE覆盖膜</x:v>
      </x:c>
      <x:c r="AH31" s="30" t="str">
        <x:v>聚乙烯树脂；塑料添加剂；石油；乙烯；催化剂</x:v>
      </x:c>
      <x:c r="AI31" s="30" t="str">
        <x:v>汽车涂装；电子制造；家具生产；建筑施工；金属加工</x:v>
      </x:c>
      <x:c r="AJ31" s="30" t="str">
        <x:v>胶带；遮蔽膜</x:v>
      </x:c>
      <x:c r="AK31" s="30" t="str">
        <x:v>tape-buyers-fuzzy-search; masking-film-buyers-exact-search</x:v>
      </x:c>
      <x:c r="AL31" s="30" t="str">
        <x:v>UpKuajing customs company contact API</x:v>
      </x:c>
      <x:c r="AM31" s="30" t="str"/>
      <x:c r="AN31" s="30" t="str"/>
      <x:c r="AO31" s="34" t="n">
        <x:v>46220</x:v>
      </x:c>
    </x:row>
    <x:row r="32" ht="44" customHeight="1">
      <x:c r="A32" s="30" t="str">
        <x:v>同法人实体已去重-复用有效邮箱</x:v>
      </x:c>
      <x:c r="B32" s="30" t="str">
        <x:v>常规-全球</x:v>
      </x:c>
      <x:c r="C32" s="30" t="str">
        <x:v>胶带</x:v>
      </x:c>
      <x:c r="D32" s="31" t="str">
        <x:v>86190</x:v>
      </x:c>
      <x:c r="E32" s="30" t="str">
        <x:v>vivo mobile india pvt ltd</x:v>
      </x:c>
      <x:c r="F32" s="30" t="str">
        <x:v>印度</x:v>
      </x:c>
      <x:c r="G32" s="30" t="str">
        <x:v>support.in@vivo.com</x:v>
      </x:c>
      <x:c r="H32" s="30" t="str">
        <x:f>IF(ISNUMBER(SEARCH(":1",AC32)),"已验证有效",IF(ISNUMBER(SEARCH(":3",AC32)),"验证不确定",IF(ISNUMBER(SEARCH(":0",AC32)),"接口未能检测",IF(ISNUMBER(SEARCH(":2",AC32)),"判定无效",IF(V32&lt;&gt;"","官网已确认-未验证","无邮箱")))))</x:f>
        <x:v>已验证有效</x:v>
      </x:c>
      <x:c r="I32" s="30" t="str"/>
      <x:c r="J32" s="30" t="str"/>
      <x:c r="K32" s="35" t="n">
        <x:f>ROUND((IF(H32="已验证有效",40,IF(V32&lt;&gt;"",20,0))+IF(ISNUMBER(SEARCH("状态1",Y32)),25,0)+IF(J32&lt;&gt;"",20,0)+IF(AA32&lt;&gt;"",15,0))/100,2)</x:f>
        <x:v>0.4</x:v>
      </x:c>
      <x:c r="L32" s="30" t="str">
        <x:v>待联系</x:v>
      </x:c>
      <x:c r="M32" s="30" t="str"/>
      <x:c r="N32" s="30" t="str">
        <x:v>3rd floor, plot no. 54, sector-44, gurgaon hr 122002 india</x:v>
      </x:c>
      <x:c r="O32" s="30" t="str"/>
      <x:c r="P32" s="30" t="str">
        <x:v>production line,compac,qsfp,wifi router,md,display s,clean table,cable fixing,back camera,1 sim,cutter device,lumi,defoam,easel,color box,crown,bbl,battery connector,hook connector,al cable</x:v>
      </x:c>
      <x:c r="Q32" s="32" t="n">
        <x:v>1379</x:v>
      </x:c>
      <x:c r="R32" s="32" t="n">
        <x:v>683021</x:v>
      </x:c>
      <x:c r="S32" s="33" t="n">
        <x:v>0.002</x:v>
      </x:c>
      <x:c r="T32" s="34" t="n">
        <x:v>46079.666666666664</x:v>
      </x:c>
      <x:c r="U32" s="30" t="str">
        <x:v>aruna.sharma@vivoglobal.com</x:v>
      </x:c>
      <x:c r="V32" s="30" t="str">
        <x:v>support.in@vivo.com; vcare@vivo.com</x:v>
      </x:c>
      <x:c r="W32" s="30" t="str"/>
      <x:c r="X32" s="30" t="str"/>
      <x:c r="Y32" s="30" t="str"/>
      <x:c r="Z32" s="30" t="str"/>
      <x:c r="AA32" s="30" t="str"/>
      <x:c r="AB32" s="30" t="str"/>
      <x:c r="AC32" s="30" t="str">
        <x:v>aruna.sharma@vivoglobal.com:3; support.in@vivo.com:1; vcare@vivo.com:1</x:v>
      </x:c>
      <x:c r="AD32" s="30" t="str"/>
      <x:c r="AE32" s="30" t="str">
        <x:v>纸；工艺品；遇水指示胶带；手机用途</x:v>
      </x:c>
      <x:c r="AF32" s="30" t="str">
        <x:v>5181866 WATER CONTACT INDICATOR TAPE PAPER PARTS FOR MFG OF MOBILE PHONE 5181866 WATER CONTACT INDICATOR TAPE PAPER PARTS FOR MFG</x:v>
      </x:c>
      <x:c r="AG32" s="30" t="str"/>
      <x:c r="AH32" s="30" t="str"/>
      <x:c r="AI32" s="30" t="str"/>
      <x:c r="AJ32" s="30" t="str">
        <x:v>胶带</x:v>
      </x:c>
      <x:c r="AK32" s="30" t="str">
        <x:v>tape-buyers-fuzzy-search</x:v>
      </x:c>
      <x:c r="AL32" s="30" t="str">
        <x:v>UpKuajing customs company contact API</x:v>
      </x:c>
      <x:c r="AM32" s="30" t="str">
        <x:v>同一总表中的同法人实体记录；两个邮箱已由 API 验证为有效</x:v>
      </x:c>
      <x:c r="AN32" s="30" t="str">
        <x:v>公司名称、国家和业务实体一致；避免为重复实体再次购买联系方式。</x:v>
      </x:c>
      <x:c r="AO32" s="34" t="n">
        <x:v>46220</x:v>
      </x:c>
    </x:row>
    <x:row r="33" ht="44" customHeight="1">
      <x:c r="A33" s="30" t="str">
        <x:v>API联系方式已获取</x:v>
      </x:c>
      <x:c r="B33" s="30" t="str">
        <x:v>常规-全球</x:v>
      </x:c>
      <x:c r="C33" s="30" t="str">
        <x:v>胶带</x:v>
      </x:c>
      <x:c r="D33" s="31" t="str">
        <x:v>20432358</x:v>
      </x:c>
      <x:c r="E33" s="30" t="str">
        <x:v>TESA TAPES (INDIA) PRIVATE LIMITED</x:v>
      </x:c>
      <x:c r="F33" s="30" t="str">
        <x:v>印度</x:v>
      </x:c>
      <x:c r="G33" s="30" t="str">
        <x:v>marketing.india@tesa.com</x:v>
      </x:c>
      <x:c r="H33" s="30" t="str">
        <x:f>IF(ISNUMBER(SEARCH(":1",AC33)),"已验证有效",IF(ISNUMBER(SEARCH(":3",AC33)),"验证不确定",IF(ISNUMBER(SEARCH(":0",AC33)),"接口未能检测",IF(ISNUMBER(SEARCH(":2",AC33)),"判定无效",IF(V33&lt;&gt;"","官网已确认-未验证","无邮箱")))))</x:f>
        <x:v>验证不确定</x:v>
      </x:c>
      <x:c r="I33" s="30" t="str">
        <x:v>+91 22 4741 9200</x:v>
      </x:c>
      <x:c r="J33" s="30" t="str">
        <x:v>www.tesa.in</x:v>
      </x:c>
      <x:c r="K33" s="35" t="n">
        <x:f>ROUND((IF(H33="已验证有效",40,IF(V33&lt;&gt;"",20,0))+IF(ISNUMBER(SEARCH("状态1",Y33)),25,0)+IF(J33&lt;&gt;"",20,0)+IF(AA33&lt;&gt;"",15,0))/100,2)</x:f>
        <x:v>0.8</x:v>
      </x:c>
      <x:c r="L33" s="30" t="str">
        <x:v>待联系</x:v>
      </x:c>
      <x:c r="M33" s="30" t="str"/>
      <x:c r="N33" s="30" t="str">
        <x:v>301, 3RD FLOOR , LAKHANI CENTRIUM , PLOT NO. 27, SECTOR 15, CBD BELAPUR NAVI MUMBAI</x:v>
      </x:c>
      <x:c r="O33" s="30" t="str"/>
      <x:c r="P33" s="30" t="str">
        <x:v>Self-adhesive·products·and·solutions</x:v>
      </x:c>
      <x:c r="Q33" s="32" t="n">
        <x:v>1322</x:v>
      </x:c>
      <x:c r="R33" s="32" t="n">
        <x:v>9090</x:v>
      </x:c>
      <x:c r="S33" s="33" t="n">
        <x:v>0.1454</x:v>
      </x:c>
      <x:c r="T33" s="34" t="n">
        <x:v>45867.666666666664</x:v>
      </x:c>
      <x:c r="U33" s="30" t="str">
        <x:v>contact.india@tesa.com; arorarajeev2001@yahoo.com</x:v>
      </x:c>
      <x:c r="V33" s="30" t="str">
        <x:v>marketing.india@tesa.com</x:v>
      </x:c>
      <x:c r="W33" s="30" t="str"/>
      <x:c r="X33" s="30" t="str">
        <x:v>+91 22 4741 9200</x:v>
      </x:c>
      <x:c r="Y33" s="30" t="str">
        <x:v>+91 22 4741 9200:状态1/类型1/WhatsApp0</x:v>
      </x:c>
      <x:c r="Z33" s="30" t="str"/>
      <x:c r="AA33" s="30" t="str">
        <x:v>https://www.linkedin.com/company/tesa; https://www.linkedin.com/in/rajeev-arora-a04a3521</x:v>
      </x:c>
      <x:c r="AB33" s="30" t="str"/>
      <x:c r="AC33" s="30" t="str">
        <x:v>contact.india@tesa.com:2; arorarajeev2001@yahoo.com:0; marketing.india@tesa.com:3</x:v>
      </x:c>
      <x:c r="AD33" s="30" t="str"/>
      <x:c r="AE33" s="30" t="str"/>
      <x:c r="AF33" s="30" t="str">
        <x:v>P/N:60996-60000-43 TS4363TLW050M10800 4363-PV43 TESA D/S ADHESIVE TAPE 1080MMX50MP/N:60996-60000-43 TS4363TLW050M10800 4363-PV43 TESA D/S ADH</x:v>
      </x:c>
      <x:c r="AG33" s="30" t="str"/>
      <x:c r="AH33" s="30" t="str"/>
      <x:c r="AI33" s="30" t="str"/>
      <x:c r="AJ33" s="30" t="str">
        <x:v>胶带</x:v>
      </x:c>
      <x:c r="AK33" s="30" t="str">
        <x:v>tape-buyers-fuzzy-search</x:v>
      </x:c>
      <x:c r="AL33" s="30" t="str">
        <x:v>UpKuajing customs company contact API; UpKuajing reviewed person contact API</x:v>
      </x:c>
      <x:c r="AM33" s="30" t="str">
        <x:v>https://www.tesa.com/en-in/industry/lp/automotive/hole-covering-linkedin</x:v>
      </x:c>
      <x:c r="AN33" s="30" t="str">
        <x:v>企业官网；tesa India 官网明确标注的业务联系邮箱和电话 +91 22 4741 9200。 验证状态=3。; 人物补充：Rajeev Arora（Head of Operations）；运营负责人，且公司精确匹配 tesa India。</x:v>
      </x:c>
      <x:c r="AO33" s="34" t="n">
        <x:v>46220</x:v>
      </x:c>
    </x:row>
    <x:row r="34" ht="44" customHeight="1">
      <x:c r="A34" s="30" t="str">
        <x:v>API联系方式已获取</x:v>
      </x:c>
      <x:c r="B34" s="30" t="str">
        <x:v>常规-全球</x:v>
      </x:c>
      <x:c r="C34" s="30" t="str">
        <x:v>胶带</x:v>
      </x:c>
      <x:c r="D34" s="31" t="str">
        <x:v>20438395</x:v>
      </x:c>
      <x:c r="E34" s="30" t="str">
        <x:v>SALCOMP TECHNOLOGIES INDIA PRIVATE LIMITED</x:v>
      </x:c>
      <x:c r="F34" s="30" t="str">
        <x:v>印度</x:v>
      </x:c>
      <x:c r="G34" s="30" t="str">
        <x:v>dl_inmaa_finance@salcomp.com</x:v>
      </x:c>
      <x:c r="H34" s="30" t="str">
        <x:f>IF(ISNUMBER(SEARCH(":1",AC34)),"已验证有效",IF(ISNUMBER(SEARCH(":3",AC34)),"验证不确定",IF(ISNUMBER(SEARCH(":0",AC34)),"接口未能检测",IF(ISNUMBER(SEARCH(":2",AC34)),"判定无效",IF(V34&lt;&gt;"","官网已确认-未验证","无邮箱")))))</x:f>
        <x:v>已验证有效</x:v>
      </x:c>
      <x:c r="I34" s="30" t="str"/>
      <x:c r="J34" s="30" t="str">
        <x:v>salcomp.com</x:v>
      </x:c>
      <x:c r="K34" s="35" t="n">
        <x:f>ROUND((IF(H34="已验证有效",40,IF(V34&lt;&gt;"",20,0))+IF(ISNUMBER(SEARCH("状态1",Y34)),25,0)+IF(J34&lt;&gt;"",20,0)+IF(AA34&lt;&gt;"",15,0))/100,2)</x:f>
        <x:v>0.6</x:v>
      </x:c>
      <x:c r="L34" s="30" t="str">
        <x:v>待联系</x:v>
      </x:c>
      <x:c r="M34" s="30" t="str"/>
      <x:c r="N34" s="30" t="str">
        <x:v>NOKIA TELECOM SEZ , SIPCOT INDUSTRIAL PARK , PHASE III, SRIPERUMBUDUR</x:v>
      </x:c>
      <x:c r="O34" s="30" t="str"/>
      <x:c r="P34" s="30" t="str"/>
      <x:c r="Q34" s="32" t="n">
        <x:v>941</x:v>
      </x:c>
      <x:c r="R34" s="32" t="n">
        <x:v>24089</x:v>
      </x:c>
      <x:c r="S34" s="33" t="n">
        <x:v>0.0391</x:v>
      </x:c>
      <x:c r="T34" s="34" t="n">
        <x:v>45868.666666666664</x:v>
      </x:c>
      <x:c r="U34" s="30" t="str">
        <x:v>dl_inmaa_finance@salcomp.com</x:v>
      </x:c>
      <x:c r="V34" s="30" t="str"/>
      <x:c r="W34" s="30" t="str"/>
      <x:c r="X34" s="30" t="str"/>
      <x:c r="Y34" s="30" t="str"/>
      <x:c r="Z34" s="30" t="str"/>
      <x:c r="AA34" s="30" t="str"/>
      <x:c r="AB34" s="30" t="str"/>
      <x:c r="AC34" s="30" t="str">
        <x:v>dl_inmaa_finance@salcomp.com:1</x:v>
      </x:c>
      <x:c r="AD34" s="30" t="str">
        <x:v>Single-sided adhesive tape</x:v>
      </x:c>
      <x:c r="AE34" s="30" t="str">
        <x:v>胶粘带；Single-sided</x:v>
      </x:c>
      <x:c r="AF34" s="30" t="str">
        <x:v>ST69640 : 110-P18300851030-I - Single-sided adhesive tape ST69640 : 110-P18300851030-I - Single-sided adhesive tape</x:v>
      </x:c>
      <x:c r="AG34" s="30" t="str">
        <x:v>Self-adhesive tape；Sticky tape；Pressure-sensitive tape；Adhesive strip；胶带</x:v>
      </x:c>
      <x:c r="AH34" s="30" t="str">
        <x:v>塑料；Resin；胶粘剂；纸；薄膜</x:v>
      </x:c>
      <x:c r="AI34" s="30" t="str">
        <x:v>包装；标签制作；手工艺；Repair；Decoration</x:v>
      </x:c>
      <x:c r="AJ34" s="30" t="str">
        <x:v>胶带</x:v>
      </x:c>
      <x:c r="AK34" s="30" t="str">
        <x:v>expansion-search-tape-page-03</x:v>
      </x:c>
      <x:c r="AL34" s="30" t="str">
        <x:v>UpKuajing customs company contact API</x:v>
      </x:c>
      <x:c r="AM34" s="30" t="str"/>
      <x:c r="AN34" s="30" t="str"/>
      <x:c r="AO34" s="34" t="n">
        <x:v>46220</x:v>
      </x:c>
    </x:row>
    <x:row r="35" ht="44" customHeight="1">
      <x:c r="A35" s="30" t="str">
        <x:v>API联系方式已获取</x:v>
      </x:c>
      <x:c r="B35" s="30" t="str">
        <x:v>常规-全球</x:v>
      </x:c>
      <x:c r="C35" s="30" t="str">
        <x:v>遮蔽膜</x:v>
      </x:c>
      <x:c r="D35" s="31" t="str">
        <x:v>28739610</x:v>
      </x:c>
      <x:c r="E35" s="30" t="str">
        <x:v>SARASWATI PLASTOTECH INDIA PRIVATE LIMITED</x:v>
      </x:c>
      <x:c r="F35" s="30" t="str">
        <x:v>印度</x:v>
      </x:c>
      <x:c r="G35" s="30" t="str">
        <x:v>cs@saraswatigroupdb.com</x:v>
      </x:c>
      <x:c r="H35" s="30" t="str">
        <x:f>IF(ISNUMBER(SEARCH(":1",AC35)),"已验证有效",IF(ISNUMBER(SEARCH(":3",AC35)),"验证不确定",IF(ISNUMBER(SEARCH(":0",AC35)),"接口未能检测",IF(ISNUMBER(SEARCH(":2",AC35)),"判定无效",IF(V35&lt;&gt;"","官网已确认-未验证","无邮箱")))))</x:f>
        <x:v>已验证有效</x:v>
      </x:c>
      <x:c r="I35" s="30" t="str">
        <x:v>+91 1923 222 814</x:v>
      </x:c>
      <x:c r="J35" s="30" t="str">
        <x:v>www.saraswati-group.com</x:v>
      </x:c>
      <x:c r="K35" s="35" t="n">
        <x:f>ROUND((IF(H35="已验证有效",40,IF(V35&lt;&gt;"",20,0))+IF(ISNUMBER(SEARCH("状态1",Y35)),25,0)+IF(J35&lt;&gt;"",20,0)+IF(AA35&lt;&gt;"",15,0))/100,2)</x:f>
        <x:v>0.85</x:v>
      </x:c>
      <x:c r="L35" s="30" t="str">
        <x:v>待联系</x:v>
      </x:c>
      <x:c r="M35" s="30" t="str"/>
      <x:c r="N35" s="30" t="str">
        <x:v>LANE 4, PHASE 1 , SIDCO INDUSTRIAL COMPLEX</x:v>
      </x:c>
      <x:c r="O35" s="30" t="str"/>
      <x:c r="P35" s="30" t="str">
        <x:v>Plastic bottles, blow moulding multilayer bottles, injection moulding articals, measuring cups, multiwall polycarbonate sheets, and ultra lite multiwall polycobonate sheet</x:v>
      </x:c>
      <x:c r="Q35" s="32" t="n">
        <x:v>28</x:v>
      </x:c>
      <x:c r="R35" s="32" t="n">
        <x:v>419</x:v>
      </x:c>
      <x:c r="S35" s="33" t="n">
        <x:v>0.0668</x:v>
      </x:c>
      <x:c r="T35" s="34" t="n">
        <x:v>45672.666666666664</x:v>
      </x:c>
      <x:c r="U35" s="30" t="str">
        <x:v>cs@saraswatigroupdb.com</x:v>
      </x:c>
      <x:c r="V35" s="30" t="str"/>
      <x:c r="W35" s="30" t="str">
        <x:v>+91 1923 222 814</x:v>
      </x:c>
      <x:c r="X35" s="30" t="str"/>
      <x:c r="Y35" s="30" t="str">
        <x:v>+91 1923 222 814:状态1/类型1/WhatsApp2</x:v>
      </x:c>
      <x:c r="Z35" s="30" t="str"/>
      <x:c r="AA35" s="30" t="str"/>
      <x:c r="AB35" s="30" t="str"/>
      <x:c r="AC35" s="30" t="str">
        <x:v>cs@saraswatigroupdb.com:1</x:v>
      </x:c>
      <x:c r="AD35" s="30" t="str">
        <x:v>遮蔽膜</x:v>
      </x:c>
      <x:c r="AE35" s="30" t="str">
        <x:v>遮蔽膜；保护膜；透明薄膜；PS片材</x:v>
      </x:c>
      <x:c r="AF35" s="30" t="str">
        <x:v>MASKING FILM (PRE PROTECTION FILM),FILM CLEAR FILM FOR PS SHEET,50*1250*1500(20 ROLLS)(ACTUAL USER)MASKING FILM (PRE PROTECTION FILM)</x:v>
      </x:c>
      <x:c r="AG35" s="30" t="str">
        <x:v>预保护膜；表面遮蔽膜；透明遮蔽膜；PS片材保护膜；临时遮蔽膜</x:v>
      </x:c>
      <x:c r="AH35" s="30" t="str">
        <x:v>塑料树脂；聚合物；添加剂；溶剂；颜料</x:v>
      </x:c>
      <x:c r="AI35" s="30" t="str">
        <x:v>电子制造；汽车涂装；家具生产；玻璃制造；建筑施工</x:v>
      </x:c>
      <x:c r="AJ35" s="30" t="str">
        <x:v>遮蔽膜</x:v>
      </x:c>
      <x:c r="AK35" s="30" t="str">
        <x:v>masking-film-buyers-exact-search</x:v>
      </x:c>
      <x:c r="AL35" s="30" t="str">
        <x:v>UpKuajing customs company contact API</x:v>
      </x:c>
      <x:c r="AM35" s="30" t="str"/>
      <x:c r="AN35" s="30" t="str"/>
      <x:c r="AO35" s="34" t="n">
        <x:v>46220</x:v>
      </x:c>
    </x:row>
    <x:row r="36" ht="44" customHeight="1">
      <x:c r="A36" s="30" t="str">
        <x:v>API联系方式已获取</x:v>
      </x:c>
      <x:c r="B36" s="30" t="str">
        <x:v>常规-全球</x:v>
      </x:c>
      <x:c r="C36" s="30" t="str">
        <x:v>胶带</x:v>
      </x:c>
      <x:c r="D36" s="31" t="str">
        <x:v>20432683</x:v>
      </x:c>
      <x:c r="E36" s="30" t="str">
        <x:v>DHOOT TRANSMISSION PRIVATE LIMITED</x:v>
      </x:c>
      <x:c r="F36" s="30" t="str">
        <x:v>印度</x:v>
      </x:c>
      <x:c r="G36" s="30" t="str">
        <x:v>cs@carlingdhoot.com</x:v>
      </x:c>
      <x:c r="H36" s="30" t="str">
        <x:f>IF(ISNUMBER(SEARCH(":1",AC36)),"已验证有效",IF(ISNUMBER(SEARCH(":3",AC36)),"验证不确定",IF(ISNUMBER(SEARCH(":0",AC36)),"接口未能检测",IF(ISNUMBER(SEARCH(":2",AC36)),"判定无效",IF(V36&lt;&gt;"","官网已确认-未验证","无邮箱")))))</x:f>
        <x:v>已验证有效</x:v>
      </x:c>
      <x:c r="I36" s="30" t="str">
        <x:v>+91 78754 48435</x:v>
      </x:c>
      <x:c r="J36" s="30" t="str">
        <x:v>www.dhoottransmission.com</x:v>
      </x:c>
      <x:c r="K36" s="35" t="n">
        <x:f>ROUND((IF(H36="已验证有效",40,IF(V36&lt;&gt;"",20,0))+IF(ISNUMBER(SEARCH("状态1",Y36)),25,0)+IF(J36&lt;&gt;"",20,0)+IF(AA36&lt;&gt;"",15,0))/100,2)</x:f>
        <x:v>1</x:v>
      </x:c>
      <x:c r="L36" s="30" t="str">
        <x:v>待联系</x:v>
      </x:c>
      <x:c r="M36" s="30" t="str"/>
      <x:c r="N36" s="30" t="str">
        <x:v>GUT NO 312 , NANEKARWADI , TQ KHED,  PUNE</x:v>
      </x:c>
      <x:c r="O36" s="30" t="str"/>
      <x:c r="P36" s="30" t="str">
        <x:v>Wire harnesses and related products</x:v>
      </x:c>
      <x:c r="Q36" s="32" t="n">
        <x:v>23</x:v>
      </x:c>
      <x:c r="R36" s="32" t="n">
        <x:v>12796</x:v>
      </x:c>
      <x:c r="S36" s="33" t="n">
        <x:v>0.0018</x:v>
      </x:c>
      <x:c r="T36" s="34" t="n">
        <x:v>45853.666666666664</x:v>
      </x:c>
      <x:c r="U36" s="30" t="str">
        <x:v>cs@carlingdhoot.com</x:v>
      </x:c>
      <x:c r="V36" s="30" t="str"/>
      <x:c r="W36" s="30" t="str">
        <x:v>+91 78754 48435</x:v>
      </x:c>
      <x:c r="X36" s="30" t="str"/>
      <x:c r="Y36" s="30" t="str">
        <x:v>+91 78754 48435:状态1/类型3/WhatsApp2</x:v>
      </x:c>
      <x:c r="Z36" s="30" t="str"/>
      <x:c r="AA36" s="30" t="str">
        <x:v>https://www.facebook.com/dhoottransmission; https://www.linkedin.com/company/dhoot-transmission; https://twitter.com/DTPLIndia; https://www.youtube.com/channel/UCNjT2sIWuAeiT3uzkA7NorQ</x:v>
      </x:c>
      <x:c r="AB36" s="30" t="str"/>
      <x:c r="AC36" s="30" t="str">
        <x:v>cs@carlingdhoot.com:1</x:v>
      </x:c>
      <x:c r="AD36" s="30" t="str"/>
      <x:c r="AE36" s="30" t="str"/>
      <x:c r="AF36" s="30" t="str">
        <x:v>POLYESTER TAPE - CERTOPLAST 514/62020005-11 ( WITH A STRONGSYNTHETIC RUBBER-BASED ADHESIVE) (27648 ROLL)POLYESTER TAPE - CERTOPLAST 514/62020005-11 ( WITH A STRON</x:v>
      </x:c>
      <x:c r="AG36" s="30" t="str"/>
      <x:c r="AH36" s="30" t="str"/>
      <x:c r="AI36" s="30" t="str"/>
      <x:c r="AJ36" s="30" t="str">
        <x:v>胶带</x:v>
      </x:c>
      <x:c r="AK36" s="30" t="str">
        <x:v>expansion-search-tape-page-02</x:v>
      </x:c>
      <x:c r="AL36" s="30" t="str">
        <x:v>UpKuajing customs company contact API</x:v>
      </x:c>
      <x:c r="AM36" s="30" t="str"/>
      <x:c r="AN36" s="30" t="str"/>
      <x:c r="AO36" s="34" t="n">
        <x:v>46220</x:v>
      </x:c>
    </x:row>
    <x:row r="37" ht="44" customHeight="1">
      <x:c r="A37" s="30" t="str">
        <x:v>API联系方式已获取</x:v>
      </x:c>
      <x:c r="B37" s="30" t="str">
        <x:v>常规-全球</x:v>
      </x:c>
      <x:c r="C37" s="30" t="str">
        <x:v>遮蔽膜</x:v>
      </x:c>
      <x:c r="D37" s="31" t="str">
        <x:v>20208403</x:v>
      </x:c>
      <x:c r="E37" s="30" t="str">
        <x:v>AIR WORKS INDIA (ENGINEERING)PVT LTD</x:v>
      </x:c>
      <x:c r="F37" s="30" t="str">
        <x:v>印度</x:v>
      </x:c>
      <x:c r="G37" s="30" t="str">
        <x:v>deepak.goyal@airworks.in</x:v>
      </x:c>
      <x:c r="H37" s="30" t="str">
        <x:f>IF(ISNUMBER(SEARCH(":1",AC37)),"已验证有效",IF(ISNUMBER(SEARCH(":3",AC37)),"验证不确定",IF(ISNUMBER(SEARCH(":0",AC37)),"接口未能检测",IF(ISNUMBER(SEARCH(":2",AC37)),"判定无效",IF(V37&lt;&gt;"","官网已确认-未验证","无邮箱")))))</x:f>
        <x:v>已验证有效</x:v>
      </x:c>
      <x:c r="I37" s="30" t="str">
        <x:v>+91 124 464 2200</x:v>
      </x:c>
      <x:c r="J37" s="30" t="str">
        <x:v>www.airworks.in</x:v>
      </x:c>
      <x:c r="K37" s="35" t="n">
        <x:f>ROUND((IF(H37="已验证有效",40,IF(V37&lt;&gt;"",20,0))+IF(ISNUMBER(SEARCH("状态1",Y37)),25,0)+IF(J37&lt;&gt;"",20,0)+IF(AA37&lt;&gt;"",15,0))/100,2)</x:f>
        <x:v>1</x:v>
      </x:c>
      <x:c r="L37" s="30" t="str">
        <x:v>待联系</x:v>
      </x:c>
      <x:c r="M37" s="30" t="str"/>
      <x:c r="N37" s="30" t="str">
        <x:v>BOMBAY INTERNATIONAL AIR PORTGATE NO 8 SANTACRUZ E</x:v>
      </x:c>
      <x:c r="O37" s="30" t="str"/>
      <x:c r="P37" s="30" t="str">
        <x:v>Offers aircraft management, business and general aviation MRO, commercial aviation MRO, and avionics upgrade and retrofit services</x:v>
      </x:c>
      <x:c r="Q37" s="32" t="n">
        <x:v>16</x:v>
      </x:c>
      <x:c r="R37" s="32" t="n">
        <x:v>29811</x:v>
      </x:c>
      <x:c r="S37" s="33" t="n">
        <x:v>0.0005</x:v>
      </x:c>
      <x:c r="T37" s="34" t="n">
        <x:v>45845.666666666664</x:v>
      </x:c>
      <x:c r="U37" s="30" t="str">
        <x:v>deepak.goyal@airworks.in</x:v>
      </x:c>
      <x:c r="V37" s="30" t="str"/>
      <x:c r="W37" s="30" t="str">
        <x:v>+91 124 464 2200</x:v>
      </x:c>
      <x:c r="X37" s="30" t="str"/>
      <x:c r="Y37" s="30" t="str">
        <x:v>+91 124 464 2200:状态1/类型1/WhatsApp2</x:v>
      </x:c>
      <x:c r="Z37" s="30" t="str"/>
      <x:c r="AA37" s="30" t="str">
        <x:v>https://www.facebook.com/AirworksIndiaenggPvtLtd; https://www.linkedin.com/company/air-works</x:v>
      </x:c>
      <x:c r="AB37" s="30" t="str"/>
      <x:c r="AC37" s="30" t="str">
        <x:v>deepak.goyal@airworks.in:1</x:v>
      </x:c>
      <x:c r="AD37" s="30" t="str">
        <x:v>遮蔽膜</x:v>
      </x:c>
      <x:c r="AE37" s="30" t="str">
        <x:v>遮蔽膜；航空用途；Blue</x:v>
      </x:c>
      <x:c r="AF37" s="30" t="str">
        <x:v>WTE-MF-17-G Masking Film- 6m x 100m x 17mu Blue(Carton:-98cmx 15 x 15 - Per Roll)(FOR AIRCRAFT USE)(ACTUAL USE)18 ROLLSWTE-MF-17-G Masking Film- 6m x 100m x 17mu Blue(Carton:-98cm</x:v>
      </x:c>
      <x:c r="AG37" s="30" t="str">
        <x:v>涂装遮蔽胶带；保护膜；覆盖膜；表面保护膜；临时遮蔽膜</x:v>
      </x:c>
      <x:c r="AH37" s="30" t="str">
        <x:v>塑料树脂；聚合物；添加剂；颜料；胶粘剂</x:v>
      </x:c>
      <x:c r="AI37" s="30" t="str">
        <x:v>飞机制造；飞机维护；汽车涂装；工业涂装；建筑涂装</x:v>
      </x:c>
      <x:c r="AJ37" s="30" t="str">
        <x:v>遮蔽膜</x:v>
      </x:c>
      <x:c r="AK37" s="30" t="str">
        <x:v>masking-film-buyers-exact-search</x:v>
      </x:c>
      <x:c r="AL37" s="30" t="str">
        <x:v>UpKuajing customs company contact API</x:v>
      </x:c>
      <x:c r="AM37" s="30" t="str"/>
      <x:c r="AN37" s="30" t="str"/>
      <x:c r="AO37" s="34" t="n">
        <x:v>46220</x:v>
      </x:c>
    </x:row>
    <x:row r="38" ht="44" customHeight="1">
      <x:c r="A38" s="30" t="str">
        <x:v>API联系方式已获取</x:v>
      </x:c>
      <x:c r="B38" s="30" t="str">
        <x:v>常规-全球</x:v>
      </x:c>
      <x:c r="C38" s="30" t="str">
        <x:v>遮蔽膜</x:v>
      </x:c>
      <x:c r="D38" s="31" t="str">
        <x:v>22311398</x:v>
      </x:c>
      <x:c r="E38" s="30" t="str">
        <x:v>SUMAX ENGINEERING PRIVATE LIMITED</x:v>
      </x:c>
      <x:c r="F38" s="30" t="str">
        <x:v>印度</x:v>
      </x:c>
      <x:c r="G38" s="30" t="str">
        <x:v>info@sumaxindia.com</x:v>
      </x:c>
      <x:c r="H38" s="30" t="str">
        <x:f>IF(ISNUMBER(SEARCH(":1",AC38)),"已验证有效",IF(ISNUMBER(SEARCH(":3",AC38)),"验证不确定",IF(ISNUMBER(SEARCH(":0",AC38)),"接口未能检测",IF(ISNUMBER(SEARCH(":2",AC38)),"判定无效",IF(V38&lt;&gt;"","官网已确认-未验证","无邮箱")))))</x:f>
        <x:v>已验证有效</x:v>
      </x:c>
      <x:c r="I38" s="30" t="str">
        <x:v>+91 40 2773 7001</x:v>
      </x:c>
      <x:c r="J38" s="30" t="str">
        <x:v>www.sumaxindia.com</x:v>
      </x:c>
      <x:c r="K38" s="35" t="n">
        <x:f>ROUND((IF(H38="已验证有效",40,IF(V38&lt;&gt;"",20,0))+IF(ISNUMBER(SEARCH("状态1",Y38)),25,0)+IF(J38&lt;&gt;"",20,0)+IF(AA38&lt;&gt;"",15,0))/100,2)</x:f>
        <x:v>0.85</x:v>
      </x:c>
      <x:c r="L38" s="30" t="str">
        <x:v>待联系</x:v>
      </x:c>
      <x:c r="M38" s="30" t="str"/>
      <x:c r="N38" s="30" t="str">
        <x:v>NO. 45 , SHANTHI NIKETHAN COLONY, MAHENDRA HILLS , EAST MARREDPALLY</x:v>
      </x:c>
      <x:c r="O38" s="30" t="str"/>
      <x:c r="P38" s="30" t="str"/>
      <x:c r="Q38" s="32" t="n">
        <x:v>12</x:v>
      </x:c>
      <x:c r="R38" s="32" t="n">
        <x:v>5174</x:v>
      </x:c>
      <x:c r="S38" s="33" t="n">
        <x:v>0.0023</x:v>
      </x:c>
      <x:c r="T38" s="34" t="n">
        <x:v>45597.666666666664</x:v>
      </x:c>
      <x:c r="U38" s="30" t="str">
        <x:v>info@sumaxindia.com</x:v>
      </x:c>
      <x:c r="V38" s="30" t="str"/>
      <x:c r="W38" s="30" t="str">
        <x:v>+91 40 2773 7001</x:v>
      </x:c>
      <x:c r="X38" s="30" t="str"/>
      <x:c r="Y38" s="30" t="str">
        <x:v>+91 40 2773 7001:状态1/类型1/WhatsApp2</x:v>
      </x:c>
      <x:c r="Z38" s="30" t="str"/>
      <x:c r="AA38" s="30" t="str"/>
      <x:c r="AB38" s="30" t="str"/>
      <x:c r="AC38" s="30" t="str">
        <x:v>info@sumaxindia.com:1</x:v>
      </x:c>
      <x:c r="AD38" s="30" t="str">
        <x:v>遮蔽膜</x:v>
      </x:c>
      <x:c r="AE38" s="30" t="str">
        <x:v>遮蔽；薄膜</x:v>
      </x:c>
      <x:c r="AF38" s="30" t="str">
        <x:v>MASKING FILM (535 MMX1200M) 1 PCS</x:v>
      </x:c>
      <x:c r="AG38" s="30" t="str">
        <x:v>涂装遮蔽膜；保护遮蔽膜；临时遮蔽膜；施工遮蔽膜；装饰遮蔽膜</x:v>
      </x:c>
      <x:c r="AH38" s="30" t="str">
        <x:v>塑料树脂；聚合物；化学添加剂；胶粘剂；基膜材料</x:v>
      </x:c>
      <x:c r="AI38" s="30" t="str">
        <x:v>涂装工程；施工现场；汽车修补涂装；家具制造；装饰工程</x:v>
      </x:c>
      <x:c r="AJ38" s="30" t="str">
        <x:v>遮蔽膜</x:v>
      </x:c>
      <x:c r="AK38" s="30" t="str">
        <x:v>masking-film-buyers-exact-search</x:v>
      </x:c>
      <x:c r="AL38" s="30" t="str">
        <x:v>UpKuajing customs company contact API</x:v>
      </x:c>
      <x:c r="AM38" s="30" t="str"/>
      <x:c r="AN38" s="30" t="str"/>
      <x:c r="AO38" s="34" t="n">
        <x:v>46220</x:v>
      </x:c>
    </x:row>
    <x:row r="39" ht="44" customHeight="1">
      <x:c r="A39" s="30" t="str">
        <x:v>API联系方式已获取</x:v>
      </x:c>
      <x:c r="B39" s="30" t="str">
        <x:v>常规-全球</x:v>
      </x:c>
      <x:c r="C39" s="30" t="str">
        <x:v>遮蔽膜</x:v>
      </x:c>
      <x:c r="D39" s="31" t="str">
        <x:v>370961</x:v>
      </x:c>
      <x:c r="E39" s="30" t="str">
        <x:v>ajit industries pvt ltd.</x:v>
      </x:c>
      <x:c r="F39" s="30" t="str">
        <x:v>印度</x:v>
      </x:c>
      <x:c r="G39" s="30" t="str">
        <x:v>marketing@ajitindustries.com</x:v>
      </x:c>
      <x:c r="H39" s="30" t="str">
        <x:f>IF(ISNUMBER(SEARCH(":1",AC39)),"已验证有效",IF(ISNUMBER(SEARCH(":3",AC39)),"验证不确定",IF(ISNUMBER(SEARCH(":0",AC39)),"接口未能检测",IF(ISNUMBER(SEARCH(":2",AC39)),"判定无效",IF(V39&lt;&gt;"","官网已确认-未验证","无邮箱")))))</x:f>
        <x:v>已验证有效</x:v>
      </x:c>
      <x:c r="I39" s="30" t="str">
        <x:v>+91 11 4901 0101</x:v>
      </x:c>
      <x:c r="J39" s="30" t="str">
        <x:v>http://www.ajitindustries.com/</x:v>
      </x:c>
      <x:c r="K39" s="35" t="n">
        <x:f>ROUND((IF(H39="已验证有效",40,IF(V39&lt;&gt;"",20,0))+IF(ISNUMBER(SEARCH("状态1",Y39)),25,0)+IF(J39&lt;&gt;"",20,0)+IF(AA39&lt;&gt;"",15,0))/100,2)</x:f>
        <x:v>0.85</x:v>
      </x:c>
      <x:c r="L39" s="30" t="str">
        <x:v>待联系</x:v>
      </x:c>
      <x:c r="M39" s="30" t="str"/>
      <x:c r="N39" s="30" t="str">
        <x:v>414/415, d-mall, 4th floor, netaji subhash place,opposite wazirpur dtc depot, pitampura, delhi -110034, (india)</x:v>
      </x:c>
      <x:c r="O39" s="30" t="str"/>
      <x:c r="P39" s="30" t="str">
        <x:v>orange,lows,coating head,perma,teli,foil,harness,h pin,tape slitting,50 micron,slot die,type m,g25,color blue,black print,pen,plain core,e11,machine,self adhesive transfer</x:v>
      </x:c>
      <x:c r="Q39" s="32" t="n">
        <x:v>10</x:v>
      </x:c>
      <x:c r="R39" s="32" t="n">
        <x:v>11268</x:v>
      </x:c>
      <x:c r="S39" s="33" t="n">
        <x:v>0.0009</x:v>
      </x:c>
      <x:c r="T39" s="34" t="n">
        <x:v>45819.666666666664</x:v>
      </x:c>
      <x:c r="U39" s="30" t="str">
        <x:v>aipl.sunsui@ajitindustries.com; marketing@ajitindustries.com</x:v>
      </x:c>
      <x:c r="V39" s="30" t="str"/>
      <x:c r="W39" s="30" t="str">
        <x:v>+91 11 4901 0101</x:v>
      </x:c>
      <x:c r="X39" s="30" t="str"/>
      <x:c r="Y39" s="30" t="str">
        <x:v>+91 11 4901 0101:状态1/类型1/WhatsApp2</x:v>
      </x:c>
      <x:c r="Z39" s="30" t="str"/>
      <x:c r="AA39" s="30" t="str"/>
      <x:c r="AB39" s="30" t="str"/>
      <x:c r="AC39" s="30" t="str">
        <x:v>aipl.sunsui@ajitindustries.com:2; marketing@ajitindustries.com:1</x:v>
      </x:c>
      <x:c r="AD39" s="30" t="str"/>
      <x:c r="AE39" s="30" t="str">
        <x:v>卷材；tria；遮蔽膜；arg；e roll</x:v>
      </x:c>
      <x:c r="AF39" s="30" t="str">
        <x:v>PE MASKING FILM IN LARGE ROLL SIZE: 2700MM*1600M (ROLL 600)(FOR INDUSTRIAL USE)PE MASKING FILM IN</x:v>
      </x:c>
      <x:c r="AG39" s="30" t="str"/>
      <x:c r="AH39" s="30" t="str"/>
      <x:c r="AI39" s="30" t="str"/>
      <x:c r="AJ39" s="30" t="str">
        <x:v>遮蔽膜</x:v>
      </x:c>
      <x:c r="AK39" s="30" t="str">
        <x:v>masking-film-buyers-exact-search</x:v>
      </x:c>
      <x:c r="AL39" s="30" t="str">
        <x:v>UpKuajing customs company contact API</x:v>
      </x:c>
      <x:c r="AM39" s="30" t="str"/>
      <x:c r="AN39" s="30" t="str"/>
      <x:c r="AO39" s="34" t="n">
        <x:v>46220</x:v>
      </x:c>
    </x:row>
    <x:row r="40" ht="44" customHeight="1">
      <x:c r="A40" s="30" t="str">
        <x:v>API联系方式已获取</x:v>
      </x:c>
      <x:c r="B40" s="30" t="str">
        <x:v>常规-全球</x:v>
      </x:c>
      <x:c r="C40" s="30" t="str">
        <x:v>遮蔽膜</x:v>
      </x:c>
      <x:c r="D40" s="31" t="str">
        <x:v>27951674</x:v>
      </x:c>
      <x:c r="E40" s="30" t="str">
        <x:v>PRIYANKA ENTERPRISE</x:v>
      </x:c>
      <x:c r="F40" s="30" t="str">
        <x:v>印度</x:v>
      </x:c>
      <x:c r="G40" s="30" t="str">
        <x:v>pryentp@hotmail.com</x:v>
      </x:c>
      <x:c r="H40" s="30" t="str">
        <x:f>IF(ISNUMBER(SEARCH(":1",AC40)),"已验证有效",IF(ISNUMBER(SEARCH(":3",AC40)),"验证不确定",IF(ISNUMBER(SEARCH(":0",AC40)),"接口未能检测",IF(ISNUMBER(SEARCH(":2",AC40)),"判定无效",IF(V40&lt;&gt;"","官网已确认-未验证","无邮箱")))))</x:f>
        <x:v>已验证有效</x:v>
      </x:c>
      <x:c r="I40" s="30" t="str">
        <x:v>+91 94250 08422</x:v>
      </x:c>
      <x:c r="J40" s="30" t="str">
        <x:v>modularfurniturebpl.com</x:v>
      </x:c>
      <x:c r="K40" s="35" t="n">
        <x:f>ROUND((IF(H40="已验证有效",40,IF(V40&lt;&gt;"",20,0))+IF(ISNUMBER(SEARCH("状态1",Y40)),25,0)+IF(J40&lt;&gt;"",20,0)+IF(AA40&lt;&gt;"",15,0))/100,2)</x:f>
        <x:v>1</x:v>
      </x:c>
      <x:c r="L40" s="30" t="str">
        <x:v>待联系</x:v>
      </x:c>
      <x:c r="M40" s="30" t="str"/>
      <x:c r="N40" s="30" t="str">
        <x:v>bhopal, madhya pradesh, india</x:v>
      </x:c>
      <x:c r="O40" s="30" t="str"/>
      <x:c r="P40" s="30" t="str"/>
      <x:c r="Q40" s="32" t="n">
        <x:v>10</x:v>
      </x:c>
      <x:c r="R40" s="32" t="n">
        <x:v>765</x:v>
      </x:c>
      <x:c r="S40" s="33" t="n">
        <x:v>0.0131</x:v>
      </x:c>
      <x:c r="T40" s="34" t="n">
        <x:v>45693.666666666664</x:v>
      </x:c>
      <x:c r="U40" s="30" t="str">
        <x:v>info@modularfurniturebpl.com; pryentp@hotmail.com</x:v>
      </x:c>
      <x:c r="V40" s="30" t="str"/>
      <x:c r="W40" s="30" t="str">
        <x:v>919425; +91 94250 08422; +91 94250 08433; +91 94250 26178</x:v>
      </x:c>
      <x:c r="X40" s="30" t="str"/>
      <x:c r="Y40" s="30" t="str">
        <x:v>919425:状态2/类型0/WhatsApp2; +91 94250 08422:状态1/类型2/WhatsApp1; +91 94250 08433:状态1/类型2/WhatsApp2; +91 94250 26178:状态1/类型2/WhatsApp1</x:v>
      </x:c>
      <x:c r="Z40" s="30" t="str">
        <x:v>+91 94250 08422; +91 94250 26178</x:v>
      </x:c>
      <x:c r="AA40" s="30" t="str">
        <x:v>https://www.facebook.com/pages/Priyanka-Enterprises/278369785647345; https://www.linkedin.com/company/priyanka-enterprise</x:v>
      </x:c>
      <x:c r="AB40" s="30" t="str"/>
      <x:c r="AC40" s="30" t="str">
        <x:v>info@modularfurniturebpl.com:2; pryentp@hotmail.com:1</x:v>
      </x:c>
      <x:c r="AD40" s="30" t="str">
        <x:v>预贴胶带遮蔽膜；遮蔽胶带</x:v>
      </x:c>
      <x:c r="AE40" s="30" t="str">
        <x:v>预贴胶带遮蔽膜；遮蔽胶带；高密度聚乙烯；收缩包装；彩色标签</x:v>
      </x:c>
      <x:c r="AF40" s="30" t="str">
        <x:v>PRETAPED MASKING FILM - 1M X 25M,PRETAPED MASKING FILM, HDPE, MASKING TAPE, EACH ROLL SHRINK WRAPPED WITH COLOR LABEL (2PRETAPED MASKING FILM - 1M X 25M,PRETAPED MASKING FILM, HDPE</x:v>
      </x:c>
      <x:c r="AG40" s="30" t="str">
        <x:v>带胶带遮蔽膜；预贴胶带遮蔽膜；自带胶遮蔽膜；HDPE遮蔽膜；带胶遮蔽片</x:v>
      </x:c>
      <x:c r="AH40" s="30" t="str">
        <x:v>高密度聚乙烯树脂；塑料添加剂；胶粘材料；聚合物原料；胶带基材</x:v>
      </x:c>
      <x:c r="AI40" s="30" t="str">
        <x:v>涂装行业；汽车修补涂装；建筑工程；家具制造；家居DIY</x:v>
      </x:c>
      <x:c r="AJ40" s="30" t="str">
        <x:v>遮蔽膜</x:v>
      </x:c>
      <x:c r="AK40" s="30" t="str">
        <x:v>masking-film-buyers-exact-search</x:v>
      </x:c>
      <x:c r="AL40" s="30" t="str">
        <x:v>UpKuajing customs company contact API</x:v>
      </x:c>
      <x:c r="AM40" s="30" t="str"/>
      <x:c r="AN40" s="30" t="str"/>
      <x:c r="AO40" s="34" t="n">
        <x:v>46220</x:v>
      </x:c>
    </x:row>
    <x:row r="41" ht="44" customHeight="1">
      <x:c r="A41" s="30" t="str">
        <x:v>API联系方式已获取</x:v>
      </x:c>
      <x:c r="B41" s="30" t="str">
        <x:v>常规-全球</x:v>
      </x:c>
      <x:c r="C41" s="30" t="str">
        <x:v>遮蔽膜</x:v>
      </x:c>
      <x:c r="D41" s="31" t="str">
        <x:v>20199535</x:v>
      </x:c>
      <x:c r="E41" s="30" t="str">
        <x:v>GRINDWELL NORTON LIMITED</x:v>
      </x:c>
      <x:c r="F41" s="30" t="str">
        <x:v>印度</x:v>
      </x:c>
      <x:c r="G41" s="30" t="str">
        <x:v>sharecmpt.gno@saint-gobain.com</x:v>
      </x:c>
      <x:c r="H41" s="30" t="str">
        <x:f>IF(ISNUMBER(SEARCH(":1",AC41)),"已验证有效",IF(ISNUMBER(SEARCH(":3",AC41)),"验证不确定",IF(ISNUMBER(SEARCH(":0",AC41)),"接口未能检测",IF(ISNUMBER(SEARCH(":2",AC41)),"判定无效",IF(V41&lt;&gt;"","官网已确认-未验证","无邮箱")))))</x:f>
        <x:v>已验证有效</x:v>
      </x:c>
      <x:c r="I41" s="30" t="str">
        <x:v>+91 22 4021 2121</x:v>
      </x:c>
      <x:c r="J41" s="30" t="str">
        <x:v>www.grindwellnorton.com</x:v>
      </x:c>
      <x:c r="K41" s="35" t="n">
        <x:f>ROUND((IF(H41="已验证有效",40,IF(V41&lt;&gt;"",20,0))+IF(ISNUMBER(SEARCH("状态1",Y41)),25,0)+IF(J41&lt;&gt;"",20,0)+IF(AA41&lt;&gt;"",15,0))/100,2)</x:f>
        <x:v>1</x:v>
      </x:c>
      <x:c r="L41" s="30" t="str">
        <x:v>待联系</x:v>
      </x:c>
      <x:c r="M41" s="30" t="str"/>
      <x:c r="N41" s="30" t="str">
        <x:v>ARMY &amp; NAVY BUILDING , 148, M G ROAD</x:v>
      </x:c>
      <x:c r="O41" s="30" t="str"/>
      <x:c r="P41" s="30" t="str">
        <x:v>Abrasives, ceramics, and plastic products</x:v>
      </x:c>
      <x:c r="Q41" s="32" t="n">
        <x:v>7</x:v>
      </x:c>
      <x:c r="R41" s="32" t="n">
        <x:v>50228</x:v>
      </x:c>
      <x:c r="S41" s="33" t="n">
        <x:v>0.0001</x:v>
      </x:c>
      <x:c r="T41" s="34" t="n">
        <x:v>45833.666666666664</x:v>
      </x:c>
      <x:c r="U41" s="30" t="str">
        <x:v>sharecmpt.gno@saint-gobain.com</x:v>
      </x:c>
      <x:c r="V41" s="30" t="str"/>
      <x:c r="W41" s="30" t="str">
        <x:v>00975261212261166; 01204061800899; 016124236502425851; 0202551089193; 0222723002126; 0224013257825852590; 04027713040; 065722254152228432; 07104676464; 079400399010203; 0802559400425587248; 08030978888; 0877228573135; 098050253045; +91 22 4021 2121; 9327266444</x:v>
      </x:c>
      <x:c r="X41" s="30" t="str"/>
      <x:c r="Y41" s="30" t="str">
        <x:v>00975261212261166:状态2/类型0/WhatsApp0; 01204061800899:状态2/类型0/WhatsApp0; 016124236502425851:状态2/类型0/WhatsApp0; 0202551089193:状态2/类型0/WhatsApp0; 0222723002126:状态2/类型0/WhatsApp0; 0224013257825852590:状态2/类型0/WhatsApp0; 04027713040:状态2/类型1/WhatsApp0; 065722254152228432:状态2/类型0/WhatsApp0; 07104676464:状态2/类型0/WhatsApp0; 079400399010203:状态2/类型0/WhatsApp0; 0802559400425587248:状态2/类型0/WhatsApp0; 08030978888:状态2/类型0/WhatsApp0; 0877228573135:状态2/类型0/WhatsApp0; 098050253045:状态2/类型0/WhatsApp0; +91 22 4021 2121:状态1/类型1/WhatsApp2; 9327266444:状态2/类型0/WhatsApp2</x:v>
      </x:c>
      <x:c r="Z41" s="30" t="str"/>
      <x:c r="AA41" s="30" t="str">
        <x:v>https://www.facebook.com/saintgobaingroup; https://www.linkedin.com/company/grindwell-norton-ltd; https://www.linkedin.com/company/saint-gobain-group-india; https://www.pinterest.com/saintgobainnews; https://www.youtube.com/user/SaintGobainTV</x:v>
      </x:c>
      <x:c r="AB41" s="30" t="str"/>
      <x:c r="AC41" s="30" t="str">
        <x:v>sharecmpt.gno@saint-gobain.com:1</x:v>
      </x:c>
      <x:c r="AD41" s="30" t="str">
        <x:v>塑料遮蔽膜</x:v>
      </x:c>
      <x:c r="AE41" s="30" t="str">
        <x:v>塑料；遮蔽膜；制造用途</x:v>
      </x:c>
      <x:c r="AF41" s="30" t="str">
        <x:v>PLASTIC MASKING FILM 9MIC X 4M X 150M 66254455280 600ROLLS (FOR MFG USE)PLASTIC MASKING FILM 9MIC X 4M X 150M 66254455280 600ROLLS (</x:v>
      </x:c>
      <x:c r="AG41" s="30" t="str">
        <x:v>塑料遮蔽膜；塑料遮蔽片材；塑料保护膜；薄膜遮蔽；塑料覆盖膜</x:v>
      </x:c>
      <x:c r="AH41" s="30" t="str">
        <x:v>塑料树脂；聚合物；添加剂；增塑剂；着色剂</x:v>
      </x:c>
      <x:c r="AI41" s="30" t="str">
        <x:v>汽车涂装；家具制造；电子装配；建筑施工；印刷</x:v>
      </x:c>
      <x:c r="AJ41" s="30" t="str">
        <x:v>遮蔽膜</x:v>
      </x:c>
      <x:c r="AK41" s="30" t="str">
        <x:v>masking-film-buyers-exact-search</x:v>
      </x:c>
      <x:c r="AL41" s="30" t="str">
        <x:v>UpKuajing customs company contact API</x:v>
      </x:c>
      <x:c r="AM41" s="30" t="str"/>
      <x:c r="AN41" s="30" t="str"/>
      <x:c r="AO41" s="34" t="n">
        <x:v>46220</x:v>
      </x:c>
    </x:row>
    <x:row r="42" ht="44" customHeight="1">
      <x:c r="A42" s="30" t="str">
        <x:v>API联系方式已获取</x:v>
      </x:c>
      <x:c r="B42" s="30" t="str">
        <x:v>常规-全球</x:v>
      </x:c>
      <x:c r="C42" s="30" t="str">
        <x:v>遮蔽膜</x:v>
      </x:c>
      <x:c r="D42" s="31" t="str">
        <x:v>168017</x:v>
      </x:c>
      <x:c r="E42" s="30" t="str">
        <x:v>grindwell norton ltd</x:v>
      </x:c>
      <x:c r="F42" s="30" t="str">
        <x:v>未标明</x:v>
      </x:c>
      <x:c r="G42" s="30" t="str">
        <x:v>bonded.gno@saint-gobain.com</x:v>
      </x:c>
      <x:c r="H42" s="30" t="str">
        <x:f>IF(ISNUMBER(SEARCH(":1",AC42)),"已验证有效",IF(ISNUMBER(SEARCH(":3",AC42)),"验证不确定",IF(ISNUMBER(SEARCH(":0",AC42)),"接口未能检测",IF(ISNUMBER(SEARCH(":2",AC42)),"判定无效",IF(V42&lt;&gt;"","官网已确认-未验证","无邮箱")))))</x:f>
        <x:v>已验证有效</x:v>
      </x:c>
      <x:c r="I42" s="30" t="str">
        <x:v>+91 22 4021 2121</x:v>
      </x:c>
      <x:c r="J42" s="30" t="str">
        <x:v>http://www.grindwellnorton.co.in/</x:v>
      </x:c>
      <x:c r="K42" s="35" t="n">
        <x:f>ROUND((IF(H42="已验证有效",40,IF(V42&lt;&gt;"",20,0))+IF(ISNUMBER(SEARCH("状态1",Y42)),25,0)+IF(J42&lt;&gt;"",20,0)+IF(AA42&lt;&gt;"",15,0))/100,2)</x:f>
        <x:v>0.85</x:v>
      </x:c>
      <x:c r="L42" s="30" t="str">
        <x:v>待联系</x:v>
      </x:c>
      <x:c r="M42" s="30" t="str"/>
      <x:c r="N42" s="30" t="str">
        <x:v>leela business park, 5th level, andheri-kurla road, andheri (e), mumbai - 400059.</x:v>
      </x:c>
      <x:c r="O42" s="30" t="str"/>
      <x:c r="P42" s="30" t="str">
        <x:v>inserted nut,nuts,arm,drill bit,dressing stick,x7,rain,hand tool,expansion foam,aed,reis,80 mesh,dag,bright raw white,s type,elma,brewery hose,smooth cover,polyethylene wax emulsion,type f</x:v>
      </x:c>
      <x:c r="Q42" s="32" t="n">
        <x:v>7</x:v>
      </x:c>
      <x:c r="R42" s="32" t="n">
        <x:v>151651</x:v>
      </x:c>
      <x:c r="S42" s="33" t="n">
        <x:v>0</x:v>
      </x:c>
      <x:c r="T42" s="34" t="n">
        <x:v>45833.666666666664</x:v>
      </x:c>
      <x:c r="U42" s="30" t="str">
        <x:v>bonded.gno@saint-gobain.com</x:v>
      </x:c>
      <x:c r="V42" s="30" t="str"/>
      <x:c r="W42" s="30" t="str">
        <x:v>+91 22 4021 2121</x:v>
      </x:c>
      <x:c r="X42" s="30" t="str"/>
      <x:c r="Y42" s="30" t="str">
        <x:v>+91 22 4021 2121:状态1/类型1/WhatsApp2</x:v>
      </x:c>
      <x:c r="Z42" s="30" t="str"/>
      <x:c r="AA42" s="30" t="str"/>
      <x:c r="AB42" s="30" t="str"/>
      <x:c r="AC42" s="30" t="str">
        <x:v>bonded.gno@saint-gobain.com:1</x:v>
      </x:c>
      <x:c r="AD42" s="30" t="str">
        <x:v>塑料遮蔽膜</x:v>
      </x:c>
      <x:c r="AE42" s="30" t="str">
        <x:v>塑料；遮蔽膜；制造用途</x:v>
      </x:c>
      <x:c r="AF42" s="30" t="str">
        <x:v>PLASTIC MASKING FILM 9MIC X 4M X 150M 66254455280 600ROLLS (FOR MFG USE)PLASTIC MASKING FILM 9MIC X 4M X 150M 66254455280 600ROLLS (</x:v>
      </x:c>
      <x:c r="AG42" s="30" t="str">
        <x:v>塑料遮蔽膜；塑料遮蔽片；塑料保护膜；遮蔽用薄膜；塑料遮蔽片</x:v>
      </x:c>
      <x:c r="AH42" s="30" t="str">
        <x:v>塑料树脂；聚合物；添加剂；塑料原料；塑料配混料</x:v>
      </x:c>
      <x:c r="AI42" s="30" t="str">
        <x:v>汽车涂装；家具制造；电子生产；建筑涂装；金属表面处理</x:v>
      </x:c>
      <x:c r="AJ42" s="30" t="str">
        <x:v>遮蔽膜</x:v>
      </x:c>
      <x:c r="AK42" s="30" t="str">
        <x:v>masking-film-buyers-exact-search</x:v>
      </x:c>
      <x:c r="AL42" s="30" t="str">
        <x:v>UpKuajing customs company contact API</x:v>
      </x:c>
      <x:c r="AM42" s="30" t="str"/>
      <x:c r="AN42" s="30" t="str"/>
      <x:c r="AO42" s="34" t="n">
        <x:v>46220</x:v>
      </x:c>
    </x:row>
    <x:row r="43" ht="44" customHeight="1">
      <x:c r="A43" s="30" t="str">
        <x:v>API联系方式已获取</x:v>
      </x:c>
      <x:c r="B43" s="30" t="str">
        <x:v>常规-全球</x:v>
      </x:c>
      <x:c r="C43" s="30" t="str">
        <x:v>遮蔽膜</x:v>
      </x:c>
      <x:c r="D43" s="31" t="str">
        <x:v>22315229</x:v>
      </x:c>
      <x:c r="E43" s="30" t="str">
        <x:v>STARCKE ABRASIVES INDIA PRIVATE LIMITED</x:v>
      </x:c>
      <x:c r="F43" s="30" t="str">
        <x:v>印度</x:v>
      </x:c>
      <x:c r="G43" s="30" t="str">
        <x:v>accounts@starcke.in</x:v>
      </x:c>
      <x:c r="H43" s="30" t="str">
        <x:f>IF(ISNUMBER(SEARCH(":1",AC43)),"已验证有效",IF(ISNUMBER(SEARCH(":3",AC43)),"验证不确定",IF(ISNUMBER(SEARCH(":0",AC43)),"接口未能检测",IF(ISNUMBER(SEARCH(":2",AC43)),"判定无效",IF(V43&lt;&gt;"","官网已确认-未验证","无邮箱")))))</x:f>
        <x:v>已验证有效</x:v>
      </x:c>
      <x:c r="I43" s="30" t="str"/>
      <x:c r="J43" s="30" t="str">
        <x:v>www.starckeindia.com</x:v>
      </x:c>
      <x:c r="K43" s="35" t="n">
        <x:f>ROUND((IF(H43="已验证有效",40,IF(V43&lt;&gt;"",20,0))+IF(ISNUMBER(SEARCH("状态1",Y43)),25,0)+IF(J43&lt;&gt;"",20,0)+IF(AA43&lt;&gt;"",15,0))/100,2)</x:f>
        <x:v>0.6</x:v>
      </x:c>
      <x:c r="L43" s="30" t="str">
        <x:v>待联系</x:v>
      </x:c>
      <x:c r="M43" s="30" t="str"/>
      <x:c r="N43" s="30" t="str">
        <x:v>SACRED TOWER , SOUTH BLOCK 513 &amp; 514 , SURVEY NO. 75/2, WANOWARIE</x:v>
      </x:c>
      <x:c r="O43" s="30" t="str"/>
      <x:c r="P43" s="30" t="str">
        <x:v>Sheets and strips with paper and cloth backing for all hand sanding and portable machine sanding applications</x:v>
      </x:c>
      <x:c r="Q43" s="32" t="n">
        <x:v>7</x:v>
      </x:c>
      <x:c r="R43" s="32" t="n">
        <x:v>8522</x:v>
      </x:c>
      <x:c r="S43" s="33" t="n">
        <x:v>0.0008</x:v>
      </x:c>
      <x:c r="T43" s="34" t="n">
        <x:v>45739.666666666664</x:v>
      </x:c>
      <x:c r="U43" s="30" t="str">
        <x:v>accounts@starcke.in</x:v>
      </x:c>
      <x:c r="V43" s="30" t="str"/>
      <x:c r="W43" s="30" t="str"/>
      <x:c r="X43" s="30" t="str"/>
      <x:c r="Y43" s="30" t="str"/>
      <x:c r="Z43" s="30" t="str"/>
      <x:c r="AA43" s="30" t="str"/>
      <x:c r="AB43" s="30" t="str"/>
      <x:c r="AC43" s="30" t="str">
        <x:v>accounts@starcke.in:1</x:v>
      </x:c>
      <x:c r="AD43" s="30" t="str"/>
      <x:c r="AE43" s="30" t="str"/>
      <x:c r="AF43" s="30" t="str">
        <x:v>MASKING FILM (4mx200m with LOGO) (200 CTNS) (200 ROLL) MASKING FILM (4mx200m with LOGO) (200 CTNS) (200 ROLL)</x:v>
      </x:c>
      <x:c r="AG43" s="30" t="str"/>
      <x:c r="AH43" s="30" t="str"/>
      <x:c r="AI43" s="30" t="str"/>
      <x:c r="AJ43" s="30" t="str">
        <x:v>遮蔽膜</x:v>
      </x:c>
      <x:c r="AK43" s="30" t="str">
        <x:v>masking-film-buyers-exact-search</x:v>
      </x:c>
      <x:c r="AL43" s="30" t="str">
        <x:v>UpKuajing customs company contact API</x:v>
      </x:c>
      <x:c r="AM43" s="30" t="str"/>
      <x:c r="AN43" s="30" t="str"/>
      <x:c r="AO43" s="34" t="n">
        <x:v>46220</x:v>
      </x:c>
    </x:row>
    <x:row r="44" ht="44" customHeight="1">
      <x:c r="A44" s="30" t="str">
        <x:v>已补充有效决策人邮箱</x:v>
      </x:c>
      <x:c r="B44" s="30" t="str">
        <x:v>常规-全球</x:v>
      </x:c>
      <x:c r="C44" s="30" t="str">
        <x:v>遮蔽膜</x:v>
      </x:c>
      <x:c r="D44" s="31" t="str">
        <x:v>28930762</x:v>
      </x:c>
      <x:c r="E44" s="30" t="str">
        <x:v>SUPER SALES CORPORATION</x:v>
      </x:c>
      <x:c r="F44" s="30" t="str">
        <x:v>印度</x:v>
      </x:c>
      <x:c r="G44" s="30" t="str">
        <x:v>jain.naman1984@gmail.com</x:v>
      </x:c>
      <x:c r="H44" s="30" t="str">
        <x:f>IF(ISNUMBER(SEARCH(":1",AC44)),"已验证有效",IF(ISNUMBER(SEARCH(":3",AC44)),"验证不确定",IF(ISNUMBER(SEARCH(":0",AC44)),"接口未能检测",IF(ISNUMBER(SEARCH(":2",AC44)),"判定无效",IF(V44&lt;&gt;"","官网已确认-未验证","无邮箱")))))</x:f>
        <x:v>已验证有效</x:v>
      </x:c>
      <x:c r="I44" s="30" t="str">
        <x:v>+91 99993 27453</x:v>
      </x:c>
      <x:c r="J44" s="30" t="str">
        <x:v>superconduits.com</x:v>
      </x:c>
      <x:c r="K44" s="35" t="n">
        <x:f>ROUND((IF(H44="已验证有效",40,IF(V44&lt;&gt;"",20,0))+IF(ISNUMBER(SEARCH("状态1",Y44)),25,0)+IF(J44&lt;&gt;"",20,0)+IF(AA44&lt;&gt;"",15,0))/100,2)</x:f>
        <x:v>1</x:v>
      </x:c>
      <x:c r="L44" s="30" t="str">
        <x:v>待联系</x:v>
      </x:c>
      <x:c r="M44" s="30" t="str"/>
      <x:c r="N44" s="30" t="str">
        <x:v>delhi, delhi, india</x:v>
      </x:c>
      <x:c r="O44" s="30" t="str"/>
      <x:c r="P44" s="30" t="str"/>
      <x:c r="Q44" s="32" t="n">
        <x:v>7</x:v>
      </x:c>
      <x:c r="R44" s="32" t="n">
        <x:v>357</x:v>
      </x:c>
      <x:c r="S44" s="33" t="n">
        <x:v>0.0196</x:v>
      </x:c>
      <x:c r="T44" s="34" t="n">
        <x:v>45690.666666666664</x:v>
      </x:c>
      <x:c r="U44" s="30" t="str">
        <x:v>career@martfury.com; contact@martfury.com; customercare@martfury.com; info@superconduits.com; media@martfury.com; vendorsupport@martfury.com; jain.naman1984@gmail.com</x:v>
      </x:c>
      <x:c r="V44" s="30" t="str">
        <x:v>supsalcorp@gmail.com</x:v>
      </x:c>
      <x:c r="W44" s="30" t="str"/>
      <x:c r="X44" s="30" t="str">
        <x:v>+91 99993 27453</x:v>
      </x:c>
      <x:c r="Y44" s="30" t="str">
        <x:v>+91 99993 27453:状态1/类型2/WhatsApp1</x:v>
      </x:c>
      <x:c r="Z44" s="30" t="str"/>
      <x:c r="AA44" s="30" t="str">
        <x:v>https://www.linkedin.com/company/super-sales-corporation; https://www.linkedin.com/in/jainnaman</x:v>
      </x:c>
      <x:c r="AB44" s="30" t="str"/>
      <x:c r="AC44" s="30" t="str">
        <x:v>career@martfury.com:2; contact@martfury.com:2; customercare@martfury.com:2; info@superconduits.com:2; media@martfury.com:2; vendorsupport@martfury.com:2; jain.naman1984@gmail.com:1; supsalcorp@gmail.com:3</x:v>
      </x:c>
      <x:c r="AD44" s="30" t="str">
        <x:v>预贴胶带遮蔽膜</x:v>
      </x:c>
      <x:c r="AE44" s="30" t="str">
        <x:v>Pre-taped；遮蔽膜</x:v>
      </x:c>
      <x:c r="AF44" s="30" t="str">
        <x:v>PRE-TAPED MASKING FILM,STYLE NO:80MM*45M(5400 ROLL) PRE-TAPED MASKING FILM,STYLE NO:80MM*45M(5400 ROLL)</x:v>
      </x:c>
      <x:c r="AG44" s="30" t="str">
        <x:v>带胶遮蔽膜；胶带遮蔽膜；预贴遮蔽膜；自带胶遮蔽膜；自粘遮蔽膜</x:v>
      </x:c>
      <x:c r="AH44" s="30" t="str">
        <x:v>塑料树脂；胶粘剂；聚合物；薄膜基材；胶带</x:v>
      </x:c>
      <x:c r="AI44" s="30" t="str">
        <x:v>汽车涂装；家具涂装；建筑涂装；DIY项目；工业涂装</x:v>
      </x:c>
      <x:c r="AJ44" s="30" t="str">
        <x:v>遮蔽膜</x:v>
      </x:c>
      <x:c r="AK44" s="30" t="str">
        <x:v>masking-film-buyers-exact-search</x:v>
      </x:c>
      <x:c r="AL44" s="30" t="str">
        <x:v>UpKuajing customs company contact API; UpKuajing reviewed person contact API</x:v>
      </x:c>
      <x:c r="AM44" s="30" t="str">
        <x:v>https://www.scamadviser.com/check-website/superconduits.com</x:v>
      </x:c>
      <x:c r="AN44" s="30" t="str">
        <x:v>域名登记信息聚合；superconduits.com 的域名登记联系人邮箱；只有验证有效才纳入首选邮箱候选。 验证状态=3。; 人物补充：Naman Jain（Executive Partner）；企业合伙人，且公司精确匹配 Super Sales Corporation。</x:v>
      </x:c>
      <x:c r="AO44" s="34" t="n">
        <x:v>46220</x:v>
      </x:c>
    </x:row>
    <x:row r="45" ht="44" customHeight="1">
      <x:c r="A45" s="30" t="str">
        <x:v>API联系方式已获取</x:v>
      </x:c>
      <x:c r="B45" s="30" t="str">
        <x:v>常规-全球</x:v>
      </x:c>
      <x:c r="C45" s="30" t="str">
        <x:v>遮蔽膜</x:v>
      </x:c>
      <x:c r="D45" s="31" t="str">
        <x:v>67078</x:v>
      </x:c>
      <x:c r="E45" s="30" t="str">
        <x:v>aqua dynamics pvt ltd.</x:v>
      </x:c>
      <x:c r="F45" s="30" t="str">
        <x:v>斯里兰卡</x:v>
      </x:c>
      <x:c r="G45" s="30" t="str">
        <x:v>udaya@aquadynamics.lk</x:v>
      </x:c>
      <x:c r="H45" s="30" t="str">
        <x:f>IF(ISNUMBER(SEARCH(":1",AC45)),"已验证有效",IF(ISNUMBER(SEARCH(":3",AC45)),"验证不确定",IF(ISNUMBER(SEARCH(":0",AC45)),"接口未能检测",IF(ISNUMBER(SEARCH(":2",AC45)),"判定无效",IF(V45&lt;&gt;"","官网已确认-未验证","无邮箱")))))</x:f>
        <x:v>验证不确定</x:v>
      </x:c>
      <x:c r="I45" s="30" t="str">
        <x:v>+94 31 5553500</x:v>
      </x:c>
      <x:c r="J45" s="30" t="str">
        <x:v>http://www.aquadynamicconsultancy.com</x:v>
      </x:c>
      <x:c r="K45" s="35" t="n">
        <x:f>ROUND((IF(H45="已验证有效",40,IF(V45&lt;&gt;"",20,0))+IF(ISNUMBER(SEARCH("状态1",Y45)),25,0)+IF(J45&lt;&gt;"",20,0)+IF(AA45&lt;&gt;"",15,0))/100,2)</x:f>
        <x:v>0.8</x:v>
      </x:c>
      <x:c r="L45" s="30" t="str">
        <x:v>待联系</x:v>
      </x:c>
      <x:c r="M45" s="30" t="str"/>
      <x:c r="N45" s="30" t="str">
        <x:v>721 e highway 108. sulphur, la 70665</x:v>
      </x:c>
      <x:c r="O45" s="30" t="str"/>
      <x:c r="P45" s="30" t="str">
        <x:v>barcode scanner</x:v>
      </x:c>
      <x:c r="Q45" s="32" t="n">
        <x:v>6</x:v>
      </x:c>
      <x:c r="R45" s="32" t="n">
        <x:v>15365</x:v>
      </x:c>
      <x:c r="S45" s="33" t="n">
        <x:v>0.0004</x:v>
      </x:c>
      <x:c r="T45" s="34" t="n">
        <x:v>46078.666666666664</x:v>
      </x:c>
      <x:c r="U45" s="30" t="str">
        <x:v>jeff.smith@aquadynamicconsultancy.com; danesh@aquadynamics.lk</x:v>
      </x:c>
      <x:c r="V45" s="30" t="str">
        <x:v>udaya@aquadynamics.lk</x:v>
      </x:c>
      <x:c r="W45" s="30" t="str"/>
      <x:c r="X45" s="30" t="str">
        <x:v>+94 31 5553500; +94 31 2235069; +94 77 7773669</x:v>
      </x:c>
      <x:c r="Y45" s="30" t="str">
        <x:v>+94 31 5553500:状态1/类型1/WhatsApp2; +94 31 2235069:状态3/类型0/WhatsApp0; +94 77 7773669:状态3/类型0/WhatsApp0</x:v>
      </x:c>
      <x:c r="Z45" s="30" t="str"/>
      <x:c r="AA45" s="30" t="str">
        <x:v>https://www.linkedin.com/in/danesh-weerarathne-8a5b9330</x:v>
      </x:c>
      <x:c r="AB45" s="30" t="str"/>
      <x:c r="AC45" s="30" t="str">
        <x:v>jeff.smith@aquadynamicconsultancy.com:2; danesh@aquadynamics.lk:2; udaya@aquadynamics.lk:3</x:v>
      </x:c>
      <x:c r="AD45" s="30" t="str"/>
      <x:c r="AE45" s="30" t="str">
        <x:v>遮蔽膜；遮蔽；印刷用薄膜；卷材</x:v>
      </x:c>
      <x:c r="AF45" s="30" t="str">
        <x:v>54 ROLLS MASKING FILMS MASKING FILM FOR PRINTING</x:v>
      </x:c>
      <x:c r="AG45" s="30" t="str"/>
      <x:c r="AH45" s="30" t="str"/>
      <x:c r="AI45" s="30" t="str"/>
      <x:c r="AJ45" s="30" t="str">
        <x:v>遮蔽膜</x:v>
      </x:c>
      <x:c r="AK45" s="30" t="str">
        <x:v>masking-film-buyers-exact-search</x:v>
      </x:c>
      <x:c r="AL45" s="30" t="str">
        <x:v>UpKuajing customs company contact API; UpKuajing reviewed person contact API</x:v>
      </x:c>
      <x:c r="AM45" s="30" t="str">
        <x:v>https://rainbowpages.lk/other/unclassified/aqua-dynamics-pvt-ltd/</x:v>
      </x:c>
      <x:c r="AN45" s="30" t="str">
        <x:v>本地商业目录；Sri Lanka Rainbow Pages 列出的公司邮箱；只有验证有效才纳入首选邮箱候选。 验证状态=3。; 人物补充：Danesh Weerarathne（Production Manager）；生产负责人，且公司精确匹配 Aqua Dynamics。</x:v>
      </x:c>
      <x:c r="AO45" s="34" t="n">
        <x:v>46220</x:v>
      </x:c>
    </x:row>
    <x:row r="46" ht="44" customHeight="1">
      <x:c r="A46" s="30" t="str">
        <x:v>API联系方式已获取</x:v>
      </x:c>
      <x:c r="B46" s="30" t="str">
        <x:v>常规-全球</x:v>
      </x:c>
      <x:c r="C46" s="30" t="str">
        <x:v>遮蔽膜</x:v>
      </x:c>
      <x:c r="D46" s="31" t="str">
        <x:v>381348</x:v>
      </x:c>
      <x:c r="E46" s="30" t="str">
        <x:v>speciality polyfilms india pvt.ltd.</x:v>
      </x:c>
      <x:c r="F46" s="30" t="str">
        <x:v>印度</x:v>
      </x:c>
      <x:c r="G46" s="30" t="str">
        <x:v>commercial@specialty-films.com</x:v>
      </x:c>
      <x:c r="H46" s="30" t="str">
        <x:f>IF(ISNUMBER(SEARCH(":1",AC46)),"已验证有效",IF(ISNUMBER(SEARCH(":3",AC46)),"验证不确定",IF(ISNUMBER(SEARCH(":0",AC46)),"接口未能检测",IF(ISNUMBER(SEARCH(":2",AC46)),"判定无效",IF(V46&lt;&gt;"","官网已确认-未验证","无邮箱")))))</x:f>
        <x:v>已验证有效</x:v>
      </x:c>
      <x:c r="I46" s="30" t="str"/>
      <x:c r="J46" s="30" t="str"/>
      <x:c r="K46" s="35" t="n">
        <x:f>ROUND((IF(H46="已验证有效",40,IF(V46&lt;&gt;"",20,0))+IF(ISNUMBER(SEARCH("状态1",Y46)),25,0)+IF(J46&lt;&gt;"",20,0)+IF(AA46&lt;&gt;"",15,0))/100,2)</x:f>
        <x:v>0.4</x:v>
      </x:c>
      <x:c r="L46" s="30" t="str">
        <x:v>待联系</x:v>
      </x:c>
      <x:c r="M46" s="30" t="str"/>
      <x:c r="N46" s="30" t="str">
        <x:v>plot no.f-89 &amp; f - 102, m.i.d.c. area, waluj, aurangabad, maharashtra,pin-431136</x:v>
      </x:c>
      <x:c r="O46" s="30" t="str"/>
      <x:c r="P46" s="30" t="str">
        <x:v>food grade,r 12,slide,polyisobutylene,polyolefin,offset,atta,bio,propylene copolymer,type load cell,dos,bat,hopper,synthetic rubber,g lock,conveyor,cover,manua,elite,polyethylen</x:v>
      </x:c>
      <x:c r="Q46" s="32" t="n">
        <x:v>6</x:v>
      </x:c>
      <x:c r="R46" s="32" t="n">
        <x:v>803</x:v>
      </x:c>
      <x:c r="S46" s="33" t="n">
        <x:v>0.0075</x:v>
      </x:c>
      <x:c r="T46" s="34" t="n">
        <x:v>45916.666666666664</x:v>
      </x:c>
      <x:c r="U46" s="30" t="str">
        <x:v>commercial@specialty-films.com</x:v>
      </x:c>
      <x:c r="V46" s="30" t="str"/>
      <x:c r="W46" s="30" t="str"/>
      <x:c r="X46" s="30" t="str"/>
      <x:c r="Y46" s="30" t="str"/>
      <x:c r="Z46" s="30" t="str"/>
      <x:c r="AA46" s="30" t="str"/>
      <x:c r="AB46" s="30" t="str"/>
      <x:c r="AC46" s="30" t="str">
        <x:v>commercial@specialty-films.com:1</x:v>
      </x:c>
      <x:c r="AD46" s="30" t="str"/>
      <x:c r="AE46" s="30" t="str">
        <x:v>印刷；遮蔽膜</x:v>
      </x:c>
      <x:c r="AF46" s="30" t="str">
        <x:v>MASKING FILM-PRINTED</x:v>
      </x:c>
      <x:c r="AG46" s="30" t="str"/>
      <x:c r="AH46" s="30" t="str"/>
      <x:c r="AI46" s="30" t="str"/>
      <x:c r="AJ46" s="30" t="str">
        <x:v>遮蔽膜</x:v>
      </x:c>
      <x:c r="AK46" s="30" t="str">
        <x:v>masking-film-buyers-exact-search</x:v>
      </x:c>
      <x:c r="AL46" s="30" t="str">
        <x:v>UpKuajing customs company contact API</x:v>
      </x:c>
      <x:c r="AM46" s="30" t="str"/>
      <x:c r="AN46" s="30" t="str"/>
      <x:c r="AO46" s="34" t="n">
        <x:v>46220</x:v>
      </x:c>
    </x:row>
    <x:row r="47" ht="44" customHeight="1">
      <x:c r="A47" s="30" t="str">
        <x:v>API联系方式已获取</x:v>
      </x:c>
      <x:c r="B47" s="30" t="str">
        <x:v>常规-全球</x:v>
      </x:c>
      <x:c r="C47" s="30" t="str">
        <x:v>遮蔽膜</x:v>
      </x:c>
      <x:c r="D47" s="31" t="str">
        <x:v>20232450</x:v>
      </x:c>
      <x:c r="E47" s="30" t="str">
        <x:v>PPG ASIAN PAINTS PRIVATE LIMITED</x:v>
      </x:c>
      <x:c r="F47" s="30" t="str">
        <x:v>印度</x:v>
      </x:c>
      <x:c r="G47" s="30" t="str">
        <x:v>compliance@ppgasianpaints.com</x:v>
      </x:c>
      <x:c r="H47" s="30" t="str">
        <x:f>IF(ISNUMBER(SEARCH(":1",AC47)),"已验证有效",IF(ISNUMBER(SEARCH(":3",AC47)),"验证不确定",IF(ISNUMBER(SEARCH(":0",AC47)),"接口未能检测",IF(ISNUMBER(SEARCH(":2",AC47)),"判定无效",IF(V47&lt;&gt;"","官网已确认-未验证","无邮箱")))))</x:f>
        <x:v>已验证有效</x:v>
      </x:c>
      <x:c r="I47" s="30" t="str">
        <x:v>+91 80020 95678</x:v>
      </x:c>
      <x:c r="J47" s="30" t="str">
        <x:v>www.ppgasianpaints.com</x:v>
      </x:c>
      <x:c r="K47" s="35" t="n">
        <x:f>ROUND((IF(H47="已验证有效",40,IF(V47&lt;&gt;"",20,0))+IF(ISNUMBER(SEARCH("状态1",Y47)),25,0)+IF(J47&lt;&gt;"",20,0)+IF(AA47&lt;&gt;"",15,0))/100,2)</x:f>
        <x:v>1</x:v>
      </x:c>
      <x:c r="L47" s="30" t="str">
        <x:v>待联系</x:v>
      </x:c>
      <x:c r="M47" s="30" t="str"/>
      <x:c r="N47" s="30" t="str">
        <x:v>6-ASHANTI NAGAR SANTACRUZ (EAST)</x:v>
      </x:c>
      <x:c r="O47" s="30" t="str"/>
      <x:c r="P47" s="30" t="str">
        <x:v>Automotive and industrial paints</x:v>
      </x:c>
      <x:c r="Q47" s="32" t="n">
        <x:v>5</x:v>
      </x:c>
      <x:c r="R47" s="32" t="n">
        <x:v>44042</x:v>
      </x:c>
      <x:c r="S47" s="33" t="n">
        <x:v>0.0001</x:v>
      </x:c>
      <x:c r="T47" s="34" t="n">
        <x:v>45858.666666666664</x:v>
      </x:c>
      <x:c r="U47" s="30" t="str">
        <x:v>compliance@ppgasianpaints.com</x:v>
      </x:c>
      <x:c r="V47" s="30" t="str"/>
      <x:c r="W47" s="30" t="str">
        <x:v>02226528044; 02230568764; 02230568800; 02268158700; +91 80020 95678</x:v>
      </x:c>
      <x:c r="X47" s="30" t="str"/>
      <x:c r="Y47" s="30" t="str">
        <x:v>02226528044:状态2/类型0/WhatsApp0; 02230568764:状态2/类型0/WhatsApp0; 02230568800:状态2/类型0/WhatsApp0; 02268158700:状态2/类型0/WhatsApp0; +91 80020 95678:状态1/类型2/WhatsApp2</x:v>
      </x:c>
      <x:c r="Z47" s="30" t="str"/>
      <x:c r="AA47" s="30" t="str">
        <x:v>https://www.linkedin.com/company-beta/2680876; https://www.youtube.com/user/PPGIndustriesInc</x:v>
      </x:c>
      <x:c r="AB47" s="30" t="str"/>
      <x:c r="AC47" s="30" t="str">
        <x:v>compliance@ppgasianpaints.com:1</x:v>
      </x:c>
      <x:c r="AD47" s="30" t="str"/>
      <x:c r="AE47" s="30" t="str"/>
      <x:c r="AF47" s="30" t="str">
        <x:v>MASKING FILM  10MIC X 4M X 150M (400 CTNS USD 12.97) (FTA NO: VN-IN 25/01/022930 DT- 21/07/2025)MASKING FILM  10MIC X 4M X 150M (400 CTNS USD 12.97) (FTA NO</x:v>
      </x:c>
      <x:c r="AG47" s="30" t="str"/>
      <x:c r="AH47" s="30" t="str"/>
      <x:c r="AI47" s="30" t="str"/>
      <x:c r="AJ47" s="30" t="str">
        <x:v>遮蔽膜</x:v>
      </x:c>
      <x:c r="AK47" s="30" t="str">
        <x:v>expansion-search-masking-film-page-02</x:v>
      </x:c>
      <x:c r="AL47" s="30" t="str">
        <x:v>UpKuajing customs company contact API</x:v>
      </x:c>
      <x:c r="AM47" s="30" t="str"/>
      <x:c r="AN47" s="30" t="str"/>
      <x:c r="AO47" s="34" t="n">
        <x:v>46220</x:v>
      </x:c>
    </x:row>
    <x:row r="48" ht="44" customHeight="1">
      <x:c r="A48" s="30" t="str">
        <x:v>API联系方式已获取</x:v>
      </x:c>
      <x:c r="B48" s="30" t="str">
        <x:v>常规-全球</x:v>
      </x:c>
      <x:c r="C48" s="30" t="str">
        <x:v>胶带</x:v>
      </x:c>
      <x:c r="D48" s="31" t="str">
        <x:v>20437717</x:v>
      </x:c>
      <x:c r="E48" s="30" t="str">
        <x:v>ENDOLITE INDIA LIMITED</x:v>
      </x:c>
      <x:c r="F48" s="30" t="str">
        <x:v>印度</x:v>
      </x:c>
      <x:c r="G48" s="30" t="str">
        <x:v>info@endoliteindia.in</x:v>
      </x:c>
      <x:c r="H48" s="30" t="str">
        <x:f>IF(ISNUMBER(SEARCH(":1",AC48)),"已验证有效",IF(ISNUMBER(SEARCH(":3",AC48)),"验证不确定",IF(ISNUMBER(SEARCH(":0",AC48)),"接口未能检测",IF(ISNUMBER(SEARCH(":2",AC48)),"判定无效",IF(V48&lt;&gt;"","官网已确认-未验证","无邮箱")))))</x:f>
        <x:v>接口未能检测</x:v>
      </x:c>
      <x:c r="I48" s="30" t="str">
        <x:v>+44 1256 316600</x:v>
      </x:c>
      <x:c r="J48" s="30" t="str">
        <x:v>www.endoliteindia.com</x:v>
      </x:c>
      <x:c r="K48" s="35" t="n">
        <x:f>ROUND((IF(H48="已验证有效",40,IF(V48&lt;&gt;"",20,0))+IF(ISNUMBER(SEARCH("状态1",Y48)),25,0)+IF(J48&lt;&gt;"",20,0)+IF(AA48&lt;&gt;"",15,0))/100,2)</x:f>
        <x:v>0.6</x:v>
      </x:c>
      <x:c r="L48" s="30" t="str">
        <x:v>待联系</x:v>
      </x:c>
      <x:c r="M48" s="30" t="str"/>
      <x:c r="N48" s="30" t="str">
        <x:v>NO. A-4 , NARAINA INDUSTRIAL AREA, PHASE-I</x:v>
      </x:c>
      <x:c r="O48" s="30" t="str"/>
      <x:c r="P48" s="30" t="str"/>
      <x:c r="Q48" s="32" t="n">
        <x:v>4</x:v>
      </x:c>
      <x:c r="R48" s="32" t="n">
        <x:v>6894</x:v>
      </x:c>
      <x:c r="S48" s="33" t="n">
        <x:v>0.0006</x:v>
      </x:c>
      <x:c r="T48" s="34" t="n">
        <x:v>45847.666666666664</x:v>
      </x:c>
      <x:c r="U48" s="30" t="str">
        <x:v>info@endoliteindia.in; sales@blatchford.co</x:v>
      </x:c>
      <x:c r="V48" s="30" t="str"/>
      <x:c r="W48" s="30" t="str">
        <x:v>+44 1256 316600; +91 11 4568 9955; +91 11 4568 9999</x:v>
      </x:c>
      <x:c r="X48" s="30" t="str"/>
      <x:c r="Y48" s="30" t="str">
        <x:v>+44 1256 316600:状态1/类型1/WhatsApp2; +91 11 4568 9955:状态1/类型1/WhatsApp2; +91 11 4568 9999:状态1/类型1/WhatsApp2</x:v>
      </x:c>
      <x:c r="Z48" s="30" t="str"/>
      <x:c r="AA48" s="30" t="str">
        <x:v>https://www.facebook.com/endoliteindialtd</x:v>
      </x:c>
      <x:c r="AB48" s="30" t="str"/>
      <x:c r="AC48" s="30" t="str">
        <x:v>info@endoliteindia.in:0; sales@blatchford.co:0</x:v>
      </x:c>
      <x:c r="AD48" s="30" t="str"/>
      <x:c r="AE48" s="30" t="str"/>
      <x:c r="AF48" s="30" t="str">
        <x:v>TAPE MEASURES  (FOR ADVERTISING PURPOSE) FOR ADVERTISING PURPOSE</x:v>
      </x:c>
      <x:c r="AG48" s="30" t="str"/>
      <x:c r="AH48" s="30" t="str"/>
      <x:c r="AI48" s="30" t="str"/>
      <x:c r="AJ48" s="30" t="str">
        <x:v>胶带</x:v>
      </x:c>
      <x:c r="AK48" s="30" t="str">
        <x:v>expansion-search-tape-page-02</x:v>
      </x:c>
      <x:c r="AL48" s="30" t="str">
        <x:v>UpKuajing customs company contact API</x:v>
      </x:c>
      <x:c r="AM48" s="30" t="str"/>
      <x:c r="AN48" s="30" t="str"/>
      <x:c r="AO48" s="34" t="n">
        <x:v>46220</x:v>
      </x:c>
    </x:row>
    <x:row r="49" ht="44" customHeight="1">
      <x:c r="A49" s="30" t="str">
        <x:v>API联系方式已获取</x:v>
      </x:c>
      <x:c r="B49" s="30" t="str">
        <x:v>常规-全球</x:v>
      </x:c>
      <x:c r="C49" s="30" t="str">
        <x:v>遮蔽膜</x:v>
      </x:c>
      <x:c r="D49" s="31" t="str">
        <x:v>28423040</x:v>
      </x:c>
      <x:c r="E49" s="30" t="str">
        <x:v>ANIKA GLOBAL TRADING PRIVATE LIMITED</x:v>
      </x:c>
      <x:c r="F49" s="30" t="str">
        <x:v>印度</x:v>
      </x:c>
      <x:c r="G49" s="30" t="str">
        <x:v>shahrukh.mallick@anika.in</x:v>
      </x:c>
      <x:c r="H49" s="30" t="str">
        <x:f>IF(ISNUMBER(SEARCH(":1",AC49)),"已验证有效",IF(ISNUMBER(SEARCH(":3",AC49)),"验证不确定",IF(ISNUMBER(SEARCH(":0",AC49)),"接口未能检测",IF(ISNUMBER(SEARCH(":2",AC49)),"判定无效",IF(V49&lt;&gt;"","官网已确认-未验证","无邮箱")))))</x:f>
        <x:v>已验证有效</x:v>
      </x:c>
      <x:c r="I49" s="30" t="str">
        <x:v>+91 11 4728 9900</x:v>
      </x:c>
      <x:c r="J49" s="30" t="str">
        <x:v>www.anikaglobal.in</x:v>
      </x:c>
      <x:c r="K49" s="35" t="n">
        <x:f>ROUND((IF(H49="已验证有效",40,IF(V49&lt;&gt;"",20,0))+IF(ISNUMBER(SEARCH("状态1",Y49)),25,0)+IF(J49&lt;&gt;"",20,0)+IF(AA49&lt;&gt;"",15,0))/100,2)</x:f>
        <x:v>1</x:v>
      </x:c>
      <x:c r="L49" s="30" t="str">
        <x:v>待联系</x:v>
      </x:c>
      <x:c r="M49" s="30" t="str"/>
      <x:c r="N49" s="30" t="str">
        <x:v>F-402, 4TH FLOOR PLOT NO. D-1 , DISTRICT CENTRE "RAS VILAS" , SAKET</x:v>
      </x:c>
      <x:c r="O49" s="30" t="str"/>
      <x:c r="P49" s="30" t="str"/>
      <x:c r="Q49" s="32" t="n">
        <x:v>2</x:v>
      </x:c>
      <x:c r="R49" s="32" t="n">
        <x:v>77</x:v>
      </x:c>
      <x:c r="S49" s="33" t="n">
        <x:v>0.026000000000000002</x:v>
      </x:c>
      <x:c r="T49" s="34" t="n">
        <x:v>45678.666666666664</x:v>
      </x:c>
      <x:c r="U49" s="30" t="str">
        <x:v>shahrukh.mallick@anika.in</x:v>
      </x:c>
      <x:c r="V49" s="30" t="str"/>
      <x:c r="W49" s="30" t="str">
        <x:v>+91 11 4728 9900</x:v>
      </x:c>
      <x:c r="X49" s="30" t="str"/>
      <x:c r="Y49" s="30" t="str">
        <x:v>+91 11 4728 9900:状态1/类型1/WhatsApp2</x:v>
      </x:c>
      <x:c r="Z49" s="30" t="str"/>
      <x:c r="AA49" s="30" t="str">
        <x:v>https://www.facebook.com/anikaglobal; https://www.instagram.com/anikaglobal; https://www.linkedin.com/company/anika-global-trading-pvt-ltd; https://twitter.com/Anika_Global</x:v>
      </x:c>
      <x:c r="AB49" s="30" t="str"/>
      <x:c r="AC49" s="30" t="str">
        <x:v>shahrukh.mallick@anika.in:1</x:v>
      </x:c>
      <x:c r="AD49" s="30" t="str">
        <x:v>LEXAN SHEET；聚乙烯遮蔽膜</x:v>
      </x:c>
      <x:c r="AE49" s="30" t="str">
        <x:v>LEXAN SHEET；聚乙烯遮蔽膜；聚乙烯；遮蔽；White</x:v>
      </x:c>
      <x:c r="AF49" s="30" t="str">
        <x:v>PFC 627/60 SA MW LEXAN SHEET WHITE 60UM, 1.270MM WIDTH (POLYETHYLENE MASKING  FILM) (52.451 SQM) (42 ROLL).PFC 627/60 SA MW LEXAN SHEET WHITE 60UM, 1.270MM WIDTH (POLY</x:v>
      </x:c>
      <x:c r="AG49" s="30" t="str">
        <x:v>Polycarbonate sheet；PE遮蔽膜；Lexan plastic sheet；Polyethylene film；Masking sheet</x:v>
      </x:c>
      <x:c r="AH49" s="30" t="str">
        <x:v>聚乙烯树脂；Polycarbonate resin；Plastic raw materials；化学添加剂；聚合物</x:v>
      </x:c>
      <x:c r="AI49" s="30" t="str">
        <x:v>Automotive manufacturing；Electronics industry；Construction industry；Packaging industry；Printing industry</x:v>
      </x:c>
      <x:c r="AJ49" s="30" t="str">
        <x:v>遮蔽膜</x:v>
      </x:c>
      <x:c r="AK49" s="30" t="str">
        <x:v>expansion-search-masking-film-page-02</x:v>
      </x:c>
      <x:c r="AL49" s="30" t="str">
        <x:v>UpKuajing customs company contact API</x:v>
      </x:c>
      <x:c r="AM49" s="30" t="str"/>
      <x:c r="AN49" s="30" t="str"/>
      <x:c r="AO49" s="34" t="n">
        <x:v>46220</x:v>
      </x:c>
    </x:row>
    <x:row r="50" ht="44" customHeight="1">
      <x:c r="A50" s="30" t="str">
        <x:v>API联系方式已获取</x:v>
      </x:c>
      <x:c r="B50" s="30" t="str">
        <x:v>常规-全球</x:v>
      </x:c>
      <x:c r="C50" s="30" t="str">
        <x:v>胶带</x:v>
      </x:c>
      <x:c r="D50" s="31" t="str">
        <x:v>20432711</x:v>
      </x:c>
      <x:c r="E50" s="30" t="str">
        <x:v>ASIA CHEMICAL CORPORATION</x:v>
      </x:c>
      <x:c r="F50" s="30" t="str">
        <x:v>越南</x:v>
      </x:c>
      <x:c r="G50" s="30" t="str">
        <x:v>acc103@asia-chemical.com</x:v>
      </x:c>
      <x:c r="H50" s="30" t="str">
        <x:f>IF(ISNUMBER(SEARCH(":1",AC50)),"已验证有效",IF(ISNUMBER(SEARCH(":3",AC50)),"验证不确定",IF(ISNUMBER(SEARCH(":0",AC50)),"接口未能检测",IF(ISNUMBER(SEARCH(":2",AC50)),"判定无效",IF(V50&lt;&gt;"","官网已确认-未验证","无邮箱")))))</x:f>
        <x:v>已验证有效</x:v>
      </x:c>
      <x:c r="I50" s="30" t="str">
        <x:v>+84 28 3886 8174</x:v>
      </x:c>
      <x:c r="J50" s="30" t="str">
        <x:v>asia-chemical.com</x:v>
      </x:c>
      <x:c r="K50" s="35" t="n">
        <x:f>ROUND((IF(H50="已验证有效",40,IF(V50&lt;&gt;"",20,0))+IF(ISNUMBER(SEARCH("状态1",Y50)),25,0)+IF(J50&lt;&gt;"",20,0)+IF(AA50&lt;&gt;"",15,0))/100,2)</x:f>
        <x:v>1</x:v>
      </x:c>
      <x:c r="L50" s="30" t="str">
        <x:v>待联系</x:v>
      </x:c>
      <x:c r="M50" s="30" t="str"/>
      <x:c r="N50" s="30" t="str">
        <x:v>LO K4B INDUSTRIAL PARK LE MINH XUAN, ROAD NO 4 , COMMUNE LE MINH XUAN , DISTRICT BINH CHANH</x:v>
      </x:c>
      <x:c r="O50" s="30" t="str"/>
      <x:c r="P50" s="30" t="str">
        <x:v>Chemicals and allied products</x:v>
      </x:c>
      <x:c r="Q50" s="32" t="n">
        <x:v>2</x:v>
      </x:c>
      <x:c r="R50" s="32" t="n">
        <x:v>16211</x:v>
      </x:c>
      <x:c r="S50" s="33" t="n">
        <x:v>0.0001</x:v>
      </x:c>
      <x:c r="T50" s="34" t="n">
        <x:v>46106.666666666664</x:v>
      </x:c>
      <x:c r="U50" s="30" t="str">
        <x:v>20acc103@asia-chemical.com; acc103@asia-chemical.com; danhnguyen@asia-chemical.com; info@asia-chemical.com; info@canhcam.vn</x:v>
      </x:c>
      <x:c r="V50" s="30" t="str"/>
      <x:c r="W50" s="30" t="str">
        <x:v>+84 28 3886 8174; +84 838 238 364</x:v>
      </x:c>
      <x:c r="X50" s="30" t="str"/>
      <x:c r="Y50" s="30" t="str">
        <x:v>+84 28 3886 8174:状态1/类型1/WhatsApp2; +84 838 238 364:状态1/类型2/WhatsApp2</x:v>
      </x:c>
      <x:c r="Z50" s="30" t="str"/>
      <x:c r="AA50" s="30" t="str">
        <x:v>https://www.facebook.com/Asia-Chemical-Corporation-385742511835005; https://www.linkedin.com/company/asia-chemical; https://www.youtube.com/channels</x:v>
      </x:c>
      <x:c r="AB50" s="30" t="str"/>
      <x:c r="AC50" s="30" t="str">
        <x:v>20acc103@asia-chemical.com:0; acc103@asia-chemical.com:1; danhnguyen@asia-chemical.com:1; info@asia-chemical.com:1; info@canhcam.vn:1</x:v>
      </x:c>
      <x:c r="AD50" s="30" t="str"/>
      <x:c r="AE50" s="30" t="str"/>
      <x:c r="AF50" s="30" t="str">
        <x:v>Raw materials used in industrial production of parchment paper with masking tape - Sillicon - DEHESIVE 38183 KR, NSX: WACKER CHEMICALS KOREA INC., NSX: 02/2026, HSD: 08/2027</x:v>
      </x:c>
      <x:c r="AG50" s="30" t="str"/>
      <x:c r="AH50" s="30" t="str"/>
      <x:c r="AI50" s="30" t="str"/>
      <x:c r="AJ50" s="30" t="str">
        <x:v>胶带</x:v>
      </x:c>
      <x:c r="AK50" s="30" t="str">
        <x:v>expansion-search-tape-page-02</x:v>
      </x:c>
      <x:c r="AL50" s="30" t="str">
        <x:v>UpKuajing customs company contact API</x:v>
      </x:c>
      <x:c r="AM50" s="30" t="str"/>
      <x:c r="AN50" s="30" t="str"/>
      <x:c r="AO50" s="34" t="n">
        <x:v>46220</x:v>
      </x:c>
    </x:row>
    <x:row r="51" ht="44" customHeight="1">
      <x:c r="A51" s="30" t="str">
        <x:v>API联系方式已获取</x:v>
      </x:c>
      <x:c r="B51" s="30" t="str">
        <x:v>常规-全球</x:v>
      </x:c>
      <x:c r="C51" s="30" t="str">
        <x:v>胶带</x:v>
      </x:c>
      <x:c r="D51" s="31" t="str">
        <x:v>20432849</x:v>
      </x:c>
      <x:c r="E51" s="30" t="str">
        <x:v>MICRONTECH ENGINEERS PRIVATE LIMITED</x:v>
      </x:c>
      <x:c r="F51" s="30" t="str">
        <x:v>印度</x:v>
      </x:c>
      <x:c r="G51" s="30" t="str">
        <x:v>operations@microntechgroup.com</x:v>
      </x:c>
      <x:c r="H51" s="30" t="str">
        <x:f>IF(ISNUMBER(SEARCH(":1",AC51)),"已验证有效",IF(ISNUMBER(SEARCH(":3",AC51)),"验证不确定",IF(ISNUMBER(SEARCH(":0",AC51)),"接口未能检测",IF(ISNUMBER(SEARCH(":2",AC51)),"判定无效",IF(V51&lt;&gt;"","官网已确认-未验证","无邮箱")))))</x:f>
        <x:v>已验证有效</x:v>
      </x:c>
      <x:c r="I51" s="30" t="str">
        <x:v>+91 120 433 1362</x:v>
      </x:c>
      <x:c r="J51" s="30" t="str">
        <x:v>www.microntechgroup.com</x:v>
      </x:c>
      <x:c r="K51" s="35" t="n">
        <x:f>ROUND((IF(H51="已验证有效",40,IF(V51&lt;&gt;"",20,0))+IF(ISNUMBER(SEARCH("状态1",Y51)),25,0)+IF(J51&lt;&gt;"",20,0)+IF(AA51&lt;&gt;"",15,0))/100,2)</x:f>
        <x:v>1</x:v>
      </x:c>
      <x:c r="L51" s="30" t="str">
        <x:v>待联系</x:v>
      </x:c>
      <x:c r="M51" s="30" t="str"/>
      <x:c r="N51" s="30" t="str">
        <x:v>NO. R-22, FIRST FLOOR, RITA BLOCK , SHAKAR PUR</x:v>
      </x:c>
      <x:c r="O51" s="30" t="str"/>
      <x:c r="P51" s="30" t="str"/>
      <x:c r="Q51" s="32" t="n">
        <x:v>2</x:v>
      </x:c>
      <x:c r="R51" s="32" t="n">
        <x:v>7727</x:v>
      </x:c>
      <x:c r="S51" s="33" t="n">
        <x:v>0.0003</x:v>
      </x:c>
      <x:c r="T51" s="34" t="n">
        <x:v>45753.666666666664</x:v>
      </x:c>
      <x:c r="U51" s="30" t="str">
        <x:v>es@microntechgroup.com; operations@microntechgroup.com; sales@microntechgroup.com</x:v>
      </x:c>
      <x:c r="V51" s="30" t="str"/>
      <x:c r="W51" s="30" t="str">
        <x:v>+91 120 433 1362; +91 98990 42733</x:v>
      </x:c>
      <x:c r="X51" s="30" t="str"/>
      <x:c r="Y51" s="30" t="str">
        <x:v>+91 120 433 1362:状态1/类型1/WhatsApp2; +91 98990 42733:状态1/类型2/WhatsApp1</x:v>
      </x:c>
      <x:c r="Z51" s="30" t="str">
        <x:v>+91 98990 42733</x:v>
      </x:c>
      <x:c r="AA51" s="30" t="str">
        <x:v>https://www.facebook.com/microntechgroup; https://www.linkedin.com/company/microntech-engineers-pvt--ltd-; https://www.youtube.com/channel/UCmyq1XZtxxwcAUCB-0jCX1w</x:v>
      </x:c>
      <x:c r="AB51" s="30" t="str"/>
      <x:c r="AC51" s="30" t="str">
        <x:v>es@microntechgroup.com:0; operations@microntechgroup.com:1; sales@microntechgroup.com:1</x:v>
      </x:c>
      <x:c r="AD51" s="30" t="str">
        <x:v>Double-sided tape</x:v>
      </x:c>
      <x:c r="AE51" s="30" t="str">
        <x:v>Double-sided tape</x:v>
      </x:c>
      <x:c r="AF51" s="30" t="str">
        <x:v>DOUBLE-SIDED TAPE DOUBLE-SIDED TAPE</x:v>
      </x:c>
      <x:c r="AG51" s="30" t="str">
        <x:v>Two-sided tape；Double-faced tape；Dual-sided tape；Double-stick tape；Double-coated tape</x:v>
      </x:c>
      <x:c r="AH51" s="30" t="str">
        <x:v>胶粘剂；Plastic film；纸；Fabric；Resin</x:v>
      </x:c>
      <x:c r="AI51" s="30" t="str">
        <x:v>包装；手工艺；Office supplies；Automotive；Electronics</x:v>
      </x:c>
      <x:c r="AJ51" s="30" t="str">
        <x:v>胶带</x:v>
      </x:c>
      <x:c r="AK51" s="30" t="str">
        <x:v>expansion-search-tape-page-02</x:v>
      </x:c>
      <x:c r="AL51" s="30" t="str">
        <x:v>UpKuajing customs company contact API</x:v>
      </x:c>
      <x:c r="AM51" s="30" t="str"/>
      <x:c r="AN51" s="30" t="str"/>
      <x:c r="AO51" s="34" t="n">
        <x:v>46220</x:v>
      </x:c>
    </x:row>
    <x:row r="52" ht="44" customHeight="1">
      <x:c r="A52" s="30" t="str">
        <x:v>API联系方式已获取</x:v>
      </x:c>
      <x:c r="B52" s="30" t="str">
        <x:v>常规-全球</x:v>
      </x:c>
      <x:c r="C52" s="30" t="str">
        <x:v>胶带</x:v>
      </x:c>
      <x:c r="D52" s="31" t="str">
        <x:v>20432902</x:v>
      </x:c>
      <x:c r="E52" s="30" t="str">
        <x:v>TOHOKU PIONEER CORPORATION</x:v>
      </x:c>
      <x:c r="F52" s="30" t="str">
        <x:v>日本</x:v>
      </x:c>
      <x:c r="G52" s="30" t="str">
        <x:v>ir_tpc@post.pioneer.co.jp</x:v>
      </x:c>
      <x:c r="H52" s="30" t="str">
        <x:f>IF(ISNUMBER(SEARCH(":1",AC52)),"已验证有效",IF(ISNUMBER(SEARCH(":3",AC52)),"验证不确定",IF(ISNUMBER(SEARCH(":0",AC52)),"接口未能检测",IF(ISNUMBER(SEARCH(":2",AC52)),"判定无效",IF(V52&lt;&gt;"","官网已确认-未验证","无邮箱")))))</x:f>
        <x:v>已验证有效</x:v>
      </x:c>
      <x:c r="I52" s="30" t="str">
        <x:v>+81 23-654-1211</x:v>
      </x:c>
      <x:c r="J52" s="30" t="str">
        <x:v>www.pioneer.co.jp</x:v>
      </x:c>
      <x:c r="K52" s="35" t="n">
        <x:f>ROUND((IF(H52="已验证有效",40,IF(V52&lt;&gt;"",20,0))+IF(ISNUMBER(SEARCH("状态1",Y52)),25,0)+IF(J52&lt;&gt;"",20,0)+IF(AA52&lt;&gt;"",15,0))/100,2)</x:f>
        <x:v>1</x:v>
      </x:c>
      <x:c r="L52" s="30" t="str">
        <x:v>待联系</x:v>
      </x:c>
      <x:c r="M52" s="30" t="str"/>
      <x:c r="N52" s="30" t="str">
        <x:v>1105, AZANIKKO, KUNOMOTO</x:v>
      </x:c>
      <x:c r="O52" s="30" t="str"/>
      <x:c r="P52" s="30" t="str">
        <x:v>Offers speakers, car stereo mechanisms, factory automation systems, optical disc manufacturing systems, organic light-emitting diode displays, microphones, headphones, precision pressed parts, precision resin-molded parts, and precision molds/dies; Provides studio monitor speakers and home speakers, as well as ultralight mini-speakers that are used in cell phones and notebook computers; audio visual accessories; and mechanisms for car audio systems, such as CD, DVD, MD, and cassette players</x:v>
      </x:c>
      <x:c r="Q52" s="32" t="n">
        <x:v>2</x:v>
      </x:c>
      <x:c r="R52" s="32" t="n">
        <x:v>690</x:v>
      </x:c>
      <x:c r="S52" s="33" t="n">
        <x:v>0.0029</x:v>
      </x:c>
      <x:c r="T52" s="34" t="n">
        <x:v>45760.666666666664</x:v>
      </x:c>
      <x:c r="U52" s="30" t="str">
        <x:v>ir_tpc@post.pioneer.co.jp</x:v>
      </x:c>
      <x:c r="V52" s="30" t="str"/>
      <x:c r="W52" s="30" t="str">
        <x:v>0420091032; 05052436783; +81 23-654-1211</x:v>
      </x:c>
      <x:c r="X52" s="30" t="str"/>
      <x:c r="Y52" s="30" t="str">
        <x:v>0420091032:状态2/类型0/WhatsApp0; 05052436783:状态2/类型0/WhatsApp0; +81 23-654-1211:状态1/类型1/WhatsApp2</x:v>
      </x:c>
      <x:c r="Z52" s="30" t="str"/>
      <x:c r="AA52" s="30" t="str">
        <x:v>https://www.youtube.com/watch?v=MKT-0U4_JDA</x:v>
      </x:c>
      <x:c r="AB52" s="30" t="str"/>
      <x:c r="AC52" s="30" t="str">
        <x:v>ir_tpc@post.pioneer.co.jp:1</x:v>
      </x:c>
      <x:c r="AD52" s="30" t="str">
        <x:v>Washing ring</x:v>
      </x:c>
      <x:c r="AE52" s="30" t="str">
        <x:v>Washing ring；Synthetic textile tape；Washing</x:v>
      </x:c>
      <x:c r="AF52" s="30" t="str">
        <x:v>TVW1049-A/XI-QA#&amp;Washing ring (synthetic textile tape) TVW1049-A/XI-QA, Diameter 34.5mm. 100% new#&amp;VN</x:v>
      </x:c>
      <x:c r="AG52" s="30" t="str">
        <x:v>Wash ring；Cleaning ring；Scrubbing ring；Rinsing ring；Purifying ring</x:v>
      </x:c>
      <x:c r="AH52" s="30" t="str">
        <x:v>Synthetic fiber；Textile material；聚合物；Fiber blend；Chemical fiber</x:v>
      </x:c>
      <x:c r="AI52" s="30" t="str">
        <x:v>Laundry equipment；Cleaning products；Household appliances；Industrial washing machines；Automotive cleaning</x:v>
      </x:c>
      <x:c r="AJ52" s="30" t="str">
        <x:v>胶带</x:v>
      </x:c>
      <x:c r="AK52" s="30" t="str">
        <x:v>expansion-search-tape-page-02</x:v>
      </x:c>
      <x:c r="AL52" s="30" t="str">
        <x:v>UpKuajing customs company contact API</x:v>
      </x:c>
      <x:c r="AM52" s="30" t="str"/>
      <x:c r="AN52" s="30" t="str"/>
      <x:c r="AO52" s="34" t="n">
        <x:v>46220</x:v>
      </x:c>
    </x:row>
    <x:row r="53" ht="44" customHeight="1">
      <x:c r="A53" s="30" t="str">
        <x:v>API联系方式已获取</x:v>
      </x:c>
      <x:c r="B53" s="30" t="str">
        <x:v>常规-全球</x:v>
      </x:c>
      <x:c r="C53" s="30" t="str">
        <x:v>胶带</x:v>
      </x:c>
      <x:c r="D53" s="31" t="str">
        <x:v>20432918</x:v>
      </x:c>
      <x:c r="E53" s="30" t="str">
        <x:v>DAETWYLER SWISSTEC INDIA PRIVATE LIMITED</x:v>
      </x:c>
      <x:c r="F53" s="30" t="str">
        <x:v>印度</x:v>
      </x:c>
      <x:c r="G53" s="30" t="str">
        <x:v>sdhotey@daetwyler-swisstec.in</x:v>
      </x:c>
      <x:c r="H53" s="30" t="str">
        <x:f>IF(ISNUMBER(SEARCH(":1",AC53)),"已验证有效",IF(ISNUMBER(SEARCH(":3",AC53)),"验证不确定",IF(ISNUMBER(SEARCH(":0",AC53)),"接口未能检测",IF(ISNUMBER(SEARCH(":2",AC53)),"判定无效",IF(V53&lt;&gt;"","官网已确认-未验证","无邮箱")))))</x:f>
        <x:v>接口未能检测</x:v>
      </x:c>
      <x:c r="I53" s="30" t="str">
        <x:v>+91 98909 46766</x:v>
      </x:c>
      <x:c r="J53" s="30" t="str">
        <x:v>www.in.daetwyler.com</x:v>
      </x:c>
      <x:c r="K53" s="35" t="n">
        <x:f>ROUND((IF(H53="已验证有效",40,IF(V53&lt;&gt;"",20,0))+IF(ISNUMBER(SEARCH("状态1",Y53)),25,0)+IF(J53&lt;&gt;"",20,0)+IF(AA53&lt;&gt;"",15,0))/100,2)</x:f>
        <x:v>0.6</x:v>
      </x:c>
      <x:c r="L53" s="30" t="str">
        <x:v>待联系</x:v>
      </x:c>
      <x:c r="M53" s="30" t="str"/>
      <x:c r="N53" s="30" t="str">
        <x:v>Gut No 262, Lavale Road,</x:v>
      </x:c>
      <x:c r="O53" s="30" t="str"/>
      <x:c r="P53" s="30" t="str"/>
      <x:c r="Q53" s="32" t="n">
        <x:v>1</x:v>
      </x:c>
      <x:c r="R53" s="32" t="n">
        <x:v>2220</x:v>
      </x:c>
      <x:c r="S53" s="33" t="n">
        <x:v>0.0005</x:v>
      </x:c>
      <x:c r="T53" s="34" t="n">
        <x:v>45540.666666666664</x:v>
      </x:c>
      <x:c r="U53" s="30" t="str">
        <x:v>sdhotey@daetwyler-swisstec.in</x:v>
      </x:c>
      <x:c r="V53" s="30" t="str"/>
      <x:c r="W53" s="30" t="str">
        <x:v>+91 98909 46766</x:v>
      </x:c>
      <x:c r="X53" s="30" t="str"/>
      <x:c r="Y53" s="30" t="str">
        <x:v>+91 98909 46766:状态1/类型2/WhatsApp1</x:v>
      </x:c>
      <x:c r="Z53" s="30" t="str">
        <x:v>+91 98909 46766</x:v>
      </x:c>
      <x:c r="AA53" s="30" t="str">
        <x:v>https://www.linkedin.com/company/daetwyler-swisstec---india</x:v>
      </x:c>
      <x:c r="AB53" s="30" t="str"/>
      <x:c r="AC53" s="30" t="str">
        <x:v>sdhotey@daetwyler-swisstec.in:0</x:v>
      </x:c>
      <x:c r="AD53" s="30" t="str">
        <x:v>胶粘带</x:v>
      </x:c>
      <x:c r="AE53" s="30" t="str">
        <x:v>胶粘带；PVC；Brown</x:v>
      </x:c>
      <x:c r="AF53" s="30" t="str">
        <x:v>023029 ADHESIVE TAPE PVC BROWN 50MM X 66M ( COO AT ) ( TOTAL QTY 15 ROL AND UNIT PRICE 6.00 CHF PER ROL ) ( PARTS FOR P</x:v>
      </x:c>
      <x:c r="AG53" s="30" t="str">
        <x:v>Sticky Tape；胶带；Adhesive Strip；Bonding Tape；Sealing Tape</x:v>
      </x:c>
      <x:c r="AH53" s="30" t="str">
        <x:v>PVC Resin；胶粘剂；增塑剂；Stabilizer；Pigment</x:v>
      </x:c>
      <x:c r="AI53" s="30" t="str">
        <x:v>包装；手工艺；Repairs；标签制作；Decoration</x:v>
      </x:c>
      <x:c r="AJ53" s="30" t="str">
        <x:v>胶带</x:v>
      </x:c>
      <x:c r="AK53" s="30" t="str">
        <x:v>expansion-search-tape-page-02</x:v>
      </x:c>
      <x:c r="AL53" s="30" t="str">
        <x:v>UpKuajing customs company contact API</x:v>
      </x:c>
      <x:c r="AM53" s="30" t="str"/>
      <x:c r="AN53" s="30" t="str"/>
      <x:c r="AO53" s="34" t="n">
        <x:v>46220</x:v>
      </x:c>
    </x:row>
    <x:row r="54" ht="44" customHeight="1">
      <x:c r="A54" s="30" t="str">
        <x:v>API联系方式已获取</x:v>
      </x:c>
      <x:c r="B54" s="30" t="str">
        <x:v>常规-全球</x:v>
      </x:c>
      <x:c r="C54" s="30" t="str">
        <x:v>胶带</x:v>
      </x:c>
      <x:c r="D54" s="31" t="str">
        <x:v>20437682</x:v>
      </x:c>
      <x:c r="E54" s="30" t="str">
        <x:v>MABATI ROLLING MILLS LIMITED</x:v>
      </x:c>
      <x:c r="F54" s="30" t="str">
        <x:v>肯尼亚</x:v>
      </x:c>
      <x:c r="G54" s="30" t="str">
        <x:v>info@axis-kenya.com</x:v>
      </x:c>
      <x:c r="H54" s="30" t="str">
        <x:f>IF(ISNUMBER(SEARCH(":1",AC54)),"已验证有效",IF(ISNUMBER(SEARCH(":3",AC54)),"验证不确定",IF(ISNUMBER(SEARCH(":0",AC54)),"接口未能检测",IF(ISNUMBER(SEARCH(":2",AC54)),"判定无效",IF(V54&lt;&gt;"","官网已确认-未验证","无邮箱")))))</x:f>
        <x:v>已验证有效</x:v>
      </x:c>
      <x:c r="I54" s="30" t="str">
        <x:v>+254 732 775590</x:v>
      </x:c>
      <x:c r="J54" s="30" t="str">
        <x:v>www.mabati.com</x:v>
      </x:c>
      <x:c r="K54" s="35" t="n">
        <x:f>ROUND((IF(H54="已验证有效",40,IF(V54&lt;&gt;"",20,0))+IF(ISNUMBER(SEARCH("状态1",Y54)),25,0)+IF(J54&lt;&gt;"",20,0)+IF(AA54&lt;&gt;"",15,0))/100,2)</x:f>
        <x:v>1</x:v>
      </x:c>
      <x:c r="L54" s="30" t="str">
        <x:v>待联系</x:v>
      </x:c>
      <x:c r="M54" s="30" t="str"/>
      <x:c r="N54" s="30" t="str">
        <x:v>PLOT NO1870/1/569 , APOLLO CENTRE ,  VALE CLOSE , RING ROAD</x:v>
      </x:c>
      <x:c r="O54" s="30" t="str"/>
      <x:c r="P54" s="30" t="str"/>
      <x:c r="Q54" s="32" t="n">
        <x:v>1</x:v>
      </x:c>
      <x:c r="R54" s="32" t="n">
        <x:v>1957</x:v>
      </x:c>
      <x:c r="S54" s="33" t="n">
        <x:v>0.0005</x:v>
      </x:c>
      <x:c r="T54" s="34" t="n">
        <x:v>45867.666666666664</x:v>
      </x:c>
      <x:c r="U54" s="30" t="str">
        <x:v>info@axis-kenya.com</x:v>
      </x:c>
      <x:c r="V54" s="30" t="str"/>
      <x:c r="W54" s="30" t="str">
        <x:v>+254 732 775590; +254 788 202020</x:v>
      </x:c>
      <x:c r="X54" s="30" t="str"/>
      <x:c r="Y54" s="30" t="str">
        <x:v>+254 732 775590:状态1/类型2/WhatsApp2; +254 788 202020:状态1/类型2/WhatsApp2</x:v>
      </x:c>
      <x:c r="Z54" s="30" t="str"/>
      <x:c r="AA54" s="30" t="str">
        <x:v>https://www.facebook.com/MabatiRollingMills; https://www.instagram.com/mrm_ltd; https://www.instagram.com/mrm_ltd_; https://www.linkedin.com/company/mrm---safal-group; https://twitter.com/MRM_Ltd; https://www.youtube.com/channel/UC6HrKGXqPHWUafXAsPiS2Nw/videos?view=0&amp;sort=dd&amp;shelf_id=0</x:v>
      </x:c>
      <x:c r="AB54" s="30" t="str"/>
      <x:c r="AC54" s="30" t="str">
        <x:v>info@axis-kenya.com:1</x:v>
      </x:c>
      <x:c r="AD54" s="30" t="str"/>
      <x:c r="AE54" s="30" t="str"/>
      <x:c r="AF54" s="30" t="str">
        <x:v>SUZHOU L.; TAPE_THREADING_WIDTH/TAPE_DIAMETER; SUZHOU L. CLARKE CORPRATION; PK; 10; 1; OK; 1; 1;  OTHER SELF-ADHESIVE PLATES, SHEETS, FILM, FOIL, TAPE, STRIP AND OTHER FLAT SHAPES, OF PLASTICS, WHETHER OR NOT IN ROLLS</x:v>
      </x:c>
      <x:c r="AG54" s="30" t="str"/>
      <x:c r="AH54" s="30" t="str"/>
      <x:c r="AI54" s="30" t="str"/>
      <x:c r="AJ54" s="30" t="str">
        <x:v>胶带</x:v>
      </x:c>
      <x:c r="AK54" s="30" t="str">
        <x:v>expansion-search-tape-page-02</x:v>
      </x:c>
      <x:c r="AL54" s="30" t="str">
        <x:v>UpKuajing customs company contact API</x:v>
      </x:c>
      <x:c r="AM54" s="30" t="str"/>
      <x:c r="AN54" s="30" t="str"/>
      <x:c r="AO54" s="34" t="n">
        <x:v>46220</x:v>
      </x:c>
    </x:row>
    <x:row r="55" ht="44" customHeight="1">
      <x:c r="A55" s="30" t="str">
        <x:v>API联系方式已获取</x:v>
      </x:c>
      <x:c r="B55" s="30" t="str">
        <x:v>常规-全球</x:v>
      </x:c>
      <x:c r="C55" s="30" t="str">
        <x:v>遮蔽膜</x:v>
      </x:c>
      <x:c r="D55" s="31" t="str">
        <x:v>20230375</x:v>
      </x:c>
      <x:c r="E55" s="30" t="str">
        <x:v>WUERTH INDIA PRIVATE LIMITED</x:v>
      </x:c>
      <x:c r="F55" s="30" t="str">
        <x:v>印度</x:v>
      </x:c>
      <x:c r="G55" s="30" t="str">
        <x:v>jatin.shah@wuerth.in</x:v>
      </x:c>
      <x:c r="H55" s="30" t="str">
        <x:f>IF(ISNUMBER(SEARCH(":1",AC55)),"已验证有效",IF(ISNUMBER(SEARCH(":3",AC55)),"验证不确定",IF(ISNUMBER(SEARCH(":0",AC55)),"接口未能检测",IF(ISNUMBER(SEARCH(":2",AC55)),"判定无效",IF(V55&lt;&gt;"","官网已确认-未验证","无邮箱")))))</x:f>
        <x:v>已验证有效</x:v>
      </x:c>
      <x:c r="I55" s="30" t="str">
        <x:v>+49 7940 152400</x:v>
      </x:c>
      <x:c r="J55" s="30" t="str">
        <x:v>www.wuerth.in</x:v>
      </x:c>
      <x:c r="K55" s="35" t="n">
        <x:f>ROUND((IF(H55="已验证有效",40,IF(V55&lt;&gt;"",20,0))+IF(ISNUMBER(SEARCH("状态1",Y55)),25,0)+IF(J55&lt;&gt;"",20,0)+IF(AA55&lt;&gt;"",15,0))/100,2)</x:f>
        <x:v>0.85</x:v>
      </x:c>
      <x:c r="L55" s="30" t="str">
        <x:v>待联系</x:v>
      </x:c>
      <x:c r="M55" s="30" t="str"/>
      <x:c r="N55" s="30" t="str">
        <x:v>OFFICE NO.703/704 , BUILDING "WINDFALL" , SAHAR PLAZA COMPLEX,ANDHERI-KURLA ROAD,ANDHERI (EAST) MUMBAI</x:v>
      </x:c>
      <x:c r="O55" s="30" t="str"/>
      <x:c r="P55" s="30" t="str">
        <x:v>Metalworking machinery and equipment</x:v>
      </x:c>
      <x:c r="Q55" s="32" t="n">
        <x:v>1</x:v>
      </x:c>
      <x:c r="R55" s="32" t="n">
        <x:v>81772</x:v>
      </x:c>
      <x:c r="S55" s="33" t="n">
        <x:v>0</x:v>
      </x:c>
      <x:c r="T55" s="34" t="n">
        <x:v>45765.666666666664</x:v>
      </x:c>
      <x:c r="U55" s="30" t="str">
        <x:v>info.wuerth@wuerth.in; jatin.shah@wuerth.in</x:v>
      </x:c>
      <x:c r="V55" s="30" t="str"/>
      <x:c r="W55" s="30" t="str">
        <x:v>1800102506; 18001025061; +49 7940 152400; +91 1800 10 2506</x:v>
      </x:c>
      <x:c r="X55" s="30" t="str"/>
      <x:c r="Y55" s="30" t="str">
        <x:v>1800102506:状态2/类型0/WhatsApp2; 18001025061:状态2/类型0/WhatsApp2; +49 7940 152400:状态1/类型1/WhatsApp2; +91 1800 10 2506:状态1/类型3/WhatsApp2</x:v>
      </x:c>
      <x:c r="Z55" s="30" t="str"/>
      <x:c r="AA55" s="30" t="str"/>
      <x:c r="AB55" s="30" t="str"/>
      <x:c r="AC55" s="30" t="str">
        <x:v>info.wuerth@wuerth.in:0; jatin.shah@wuerth.in:1</x:v>
      </x:c>
      <x:c r="AD55" s="30" t="str"/>
      <x:c r="AE55" s="30" t="str"/>
      <x:c r="AF55" s="30" t="str">
        <x:v>0818105103 061 MASKING FILM ACCESSORIES FLMKNFE-F.LACWRKPROT 0818105103 061 MASKING FILM ACCESSORIES FLMKNFE-F.LACWRKPROT</x:v>
      </x:c>
      <x:c r="AG55" s="30" t="str"/>
      <x:c r="AH55" s="30" t="str"/>
      <x:c r="AI55" s="30" t="str"/>
      <x:c r="AJ55" s="30" t="str">
        <x:v>遮蔽膜</x:v>
      </x:c>
      <x:c r="AK55" s="30" t="str">
        <x:v>expansion-search-masking-film-page-02</x:v>
      </x:c>
      <x:c r="AL55" s="30" t="str">
        <x:v>UpKuajing customs company contact API</x:v>
      </x:c>
      <x:c r="AM55" s="30" t="str"/>
      <x:c r="AN55" s="30" t="str"/>
      <x:c r="AO55" s="34" t="n">
        <x:v>46220</x:v>
      </x:c>
    </x:row>
    <x:row r="56" ht="44" customHeight="1">
      <x:c r="A56" s="30" t="str">
        <x:v>API联系方式已获取</x:v>
      </x:c>
      <x:c r="B56" s="30" t="str">
        <x:v>常规-全球</x:v>
      </x:c>
      <x:c r="C56" s="30" t="str">
        <x:v>胶带</x:v>
      </x:c>
      <x:c r="D56" s="31" t="str">
        <x:v>20437799</x:v>
      </x:c>
      <x:c r="E56" s="30" t="str">
        <x:v>Y T ENTERPRISES</x:v>
      </x:c>
      <x:c r="F56" s="30" t="str">
        <x:v>印度</x:v>
      </x:c>
      <x:c r="G56" s="30" t="str">
        <x:v>ay.enterprises2@gmail.com</x:v>
      </x:c>
      <x:c r="H56" s="30" t="str">
        <x:f>IF(ISNUMBER(SEARCH(":1",AC56)),"已验证有效",IF(ISNUMBER(SEARCH(":3",AC56)),"验证不确定",IF(ISNUMBER(SEARCH(":0",AC56)),"接口未能检测",IF(ISNUMBER(SEARCH(":2",AC56)),"判定无效",IF(V56&lt;&gt;"","官网已确认-未验证","无邮箱")))))</x:f>
        <x:v>已验证有效</x:v>
      </x:c>
      <x:c r="I56" s="30" t="str"/>
      <x:c r="J56" s="30" t="str"/>
      <x:c r="K56" s="35" t="n">
        <x:f>ROUND((IF(H56="已验证有效",40,IF(V56&lt;&gt;"",20,0))+IF(ISNUMBER(SEARCH("状态1",Y56)),25,0)+IF(J56&lt;&gt;"",20,0)+IF(AA56&lt;&gt;"",15,0))/100,2)</x:f>
        <x:v>0.4</x:v>
      </x:c>
      <x:c r="L56" s="30" t="str">
        <x:v>待联系</x:v>
      </x:c>
      <x:c r="M56" s="30" t="str"/>
      <x:c r="N56" s="30" t="str">
        <x:v>no.22-4-358, alijah kotla, yakutpura, hyderabad, ap.,pin-500053</x:v>
      </x:c>
      <x:c r="O56" s="30" t="str"/>
      <x:c r="P56" s="30" t="str">
        <x:v>screw,gym accessory,android,tripod stand,exercise,small basket,cycle,skating board,mobile back cover,sunglasses,shoe accessory,body massager,pill box,magnet button,gag,microphone,shoes with light,small glass,ladies umbrella,mmi</x:v>
      </x:c>
      <x:c r="Q56" s="32" t="n">
        <x:v>1</x:v>
      </x:c>
      <x:c r="R56" s="32" t="n">
        <x:v>1628</x:v>
      </x:c>
      <x:c r="S56" s="33" t="n">
        <x:v>0.0006</x:v>
      </x:c>
      <x:c r="T56" s="34" t="n">
        <x:v>45616.666666666664</x:v>
      </x:c>
      <x:c r="U56" s="30" t="str">
        <x:v>ay.enterprises2@gmail.com</x:v>
      </x:c>
      <x:c r="V56" s="30" t="str"/>
      <x:c r="W56" s="30" t="str"/>
      <x:c r="X56" s="30" t="str"/>
      <x:c r="Y56" s="30" t="str"/>
      <x:c r="Z56" s="30" t="str"/>
      <x:c r="AA56" s="30" t="str"/>
      <x:c r="AB56" s="30" t="str"/>
      <x:c r="AC56" s="30" t="str">
        <x:v>ay.enterprises2@gmail.com:1</x:v>
      </x:c>
      <x:c r="AD56" s="30" t="str"/>
      <x:c r="AE56" s="30" t="str"/>
      <x:c r="AF56" s="30" t="str">
        <x:v>SMALL SUPPORTING TAPE FOR GYM</x:v>
      </x:c>
      <x:c r="AG56" s="30" t="str"/>
      <x:c r="AH56" s="30" t="str"/>
      <x:c r="AI56" s="30" t="str"/>
      <x:c r="AJ56" s="30" t="str">
        <x:v>胶带</x:v>
      </x:c>
      <x:c r="AK56" s="30" t="str">
        <x:v>expansion-search-tape-page-02</x:v>
      </x:c>
      <x:c r="AL56" s="30" t="str">
        <x:v>UpKuajing customs company contact API</x:v>
      </x:c>
      <x:c r="AM56" s="30" t="str"/>
      <x:c r="AN56" s="30" t="str"/>
      <x:c r="AO56" s="34" t="n">
        <x:v>46220</x:v>
      </x:c>
    </x:row>
  </x:sheetData>
  <x:mergeCells>
    <x:mergeCell ref="A1:N1"/>
    <x:mergeCell ref="A2:N2"/>
    <x:mergeCell ref="A3:D3"/>
    <x:mergeCell ref="E3:H3"/>
    <x:mergeCell ref="I3:L3"/>
    <x:mergeCell ref="M3:P3"/>
    <x:mergeCell ref="Q3:T3"/>
    <x:mergeCell ref="U3:X3"/>
    <x:mergeCell ref="Y3:AB3"/>
    <x:mergeCell ref="AC3:AF3"/>
    <x:mergeCell ref="AG3:AO3"/>
    <x:mergeCell ref="A4:AO4"/>
  </x:mergeCells>
  <x:conditionalFormatting sqref="B7:B56">
    <x:cfRule type="containsText" dxfId="0" priority="1" operator="containsText" text="高-欧美"/>
  </x:conditionalFormatting>
  <x:conditionalFormatting sqref="H7:H56">
    <x:cfRule type="containsText" dxfId="1" priority="2" operator="containsText" text="已验证有效"/>
    <x:cfRule type="containsText" dxfId="2" priority="3" operator="containsText" text="验证不确定"/>
  </x:conditionalFormatting>
  <x:conditionalFormatting sqref="K7:K56">
    <x:cfRule type="colorScale" priority="4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dataValidations count="1">
    <x:dataValidation type="list" sqref="L7:L56">
      <x:formula1>"待联系,已联系,已回复,有意向,无意向,暂停"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fe7083cf59408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66" hidden="0" customWidth="1"/>
  </x:cols>
  <x:sheetData>
    <x:row r="1">
      <x:c r="A1" s="38" t="str">
        <x:v>公司级有效联系方式成本与流程结论</x:v>
      </x:c>
      <x:c r="B1" s="38"/>
      <x:c r="C1" s="38"/>
      <x:c r="D1" s="38"/>
      <x:c r="E1" s="38"/>
      <x:c r="F1" s="38"/>
    </x:row>
    <x:row r="3">
      <x:c r="A3" s="40" t="str">
        <x:v>指标</x:v>
      </x:c>
      <x:c r="B3" s="40" t="str">
        <x:v>结果</x:v>
      </x:c>
      <x:c r="C3" s="40" t="str">
        <x:v>严格口径</x:v>
      </x:c>
    </x:row>
    <x:row r="4" ht="26" customHeight="1">
      <x:c r="A4" s="41" t="str">
        <x:v>公司总数</x:v>
      </x:c>
      <x:c r="B4" s="44" t="n">
        <x:v>50</x:v>
      </x:c>
      <x:c r="C4" s="41" t="str">
        <x:v>一行一家公司ID</x:v>
      </x:c>
    </x:row>
    <x:row r="5" ht="26" customHeight="1">
      <x:c r="A5" s="41" t="str">
        <x:v>拥有至少一种有效联系方式的公司</x:v>
      </x:c>
      <x:c r="B5" s="44" t="n">
        <x:v>50</x:v>
      </x:c>
      <x:c r="C5" s="41" t="str">
        <x:v>至少1个状态=1的邮箱或电话；核心总业务指标</x:v>
      </x:c>
    </x:row>
    <x:row r="6" ht="26" customHeight="1">
      <x:c r="A6" s="41" t="str">
        <x:v>拥有有效邮箱的公司</x:v>
      </x:c>
      <x:c r="B6" s="44" t="n">
        <x:v>39</x:v>
      </x:c>
      <x:c r="C6" s="41" t="str">
        <x:v>至少1个状态=1的邮箱；不按邮箱数量重复计算</x:v>
      </x:c>
    </x:row>
    <x:row r="7" ht="26" customHeight="1">
      <x:c r="A7" s="41" t="str">
        <x:v>拥有有效电话的公司</x:v>
      </x:c>
      <x:c r="B7" s="44" t="n">
        <x:v>41</x:v>
      </x:c>
      <x:c r="C7" s="41" t="str">
        <x:v>至少1个状态=1的电话；不按电话数量重复计算</x:v>
      </x:c>
    </x:row>
    <x:row r="8" ht="26" customHeight="1">
      <x:c r="A8" s="41" t="str">
        <x:v>邮箱和电话都有的公司</x:v>
      </x:c>
      <x:c r="B8" s="44" t="n">
        <x:v>30</x:v>
      </x:c>
      <x:c r="C8" s="41" t="str">
        <x:v>同时计入邮箱公司和电话公司</x:v>
      </x:c>
    </x:row>
    <x:row r="9" ht="26" customHeight="1">
      <x:c r="A9" s="41" t="str">
        <x:v>只有有效邮箱的公司</x:v>
      </x:c>
      <x:c r="B9" s="44" t="n">
        <x:v>9</x:v>
      </x:c>
      <x:c r="C9" s="41" t="str">
        <x:v>有有效邮箱、无有效电话</x:v>
      </x:c>
    </x:row>
    <x:row r="10" ht="26" customHeight="1">
      <x:c r="A10" s="41" t="str">
        <x:v>只有有效电话的公司</x:v>
      </x:c>
      <x:c r="B10" s="44" t="n">
        <x:v>11</x:v>
      </x:c>
      <x:c r="C10" s="41" t="str">
        <x:v>无有效邮箱、有有效电话</x:v>
      </x:c>
    </x:row>
    <x:row r="11" ht="26" customHeight="1">
      <x:c r="A11" s="41" t="str">
        <x:v>两者都没有的公司</x:v>
      </x:c>
      <x:c r="B11" s="44" t="n">
        <x:v>0</x:v>
      </x:c>
      <x:c r="C11" s="41" t="str">
        <x:v>无状态=1的邮箱，也无状态=1的电话</x:v>
      </x:c>
    </x:row>
    <x:row r="12" ht="26" customHeight="1">
      <x:c r="A12" s="41" t="str">
        <x:v>OpenAPI累计费用</x:v>
      </x:c>
      <x:c r="B12" s="45" t="n">
        <x:v>105.1</x:v>
      </x:c>
      <x:c r="C12" s="41" t="str">
        <x:v>人民币；已审计本项目全部调用</x:v>
      </x:c>
    </x:row>
    <x:row r="13" ht="26" customHeight="1">
      <x:c r="A13" s="41" t="str">
        <x:v>每家有效联系方式公司成本</x:v>
      </x:c>
      <x:c r="B13" s="45" t="n">
        <x:f>ROUND(B12/B5,2)</x:f>
        <x:v>2.1</x:v>
      </x:c>
      <x:c r="C13" s="41" t="str">
        <x:v>累计费用 ÷ 拥有至少一种有效联系方式的公司</x:v>
      </x:c>
    </x:row>
    <x:row r="14" ht="26" customHeight="1">
      <x:c r="A14" s="41" t="str">
        <x:v>每家有效邮箱公司成本</x:v>
      </x:c>
      <x:c r="B14" s="45" t="n">
        <x:f>ROUND(B12/B6,2)</x:f>
        <x:v>2.69</x:v>
      </x:c>
      <x:c r="C14" s="41" t="str">
        <x:v>累计费用 ÷ 拥有有效邮箱的公司</x:v>
      </x:c>
    </x:row>
    <x:row r="15" ht="26" customHeight="1">
      <x:c r="A15" s="41" t="str">
        <x:v>每家有效电话公司成本</x:v>
      </x:c>
      <x:c r="B15" s="45" t="n">
        <x:f>ROUND(B12/B7,2)</x:f>
        <x:v>2.56</x:v>
      </x:c>
      <x:c r="C15" s="41" t="str">
        <x:v>累计费用 ÷ 拥有有效电话的公司</x:v>
      </x:c>
    </x:row>
    <x:row r="16" ht="26" customHeight="1">
      <x:c r="A16" s="41" t="str">
        <x:v>预算剩余</x:v>
      </x:c>
      <x:c r="B16" s="45" t="n">
        <x:f>ROUND(200-B12,2)</x:f>
        <x:v>94.9</x:v>
      </x:c>
      <x:c r="C16" s="41" t="str">
        <x:v>预算上限 ¥200.00 - 累计费用</x:v>
      </x:c>
    </x:row>
    <x:row r="17">
      <x:c r="A17" s="41"/>
      <x:c r="B17" s="46"/>
      <x:c r="C17" s="41"/>
    </x:row>
    <x:row r="18">
      <x:c r="A18" s="40" t="str">
        <x:v>邮箱技术审计</x:v>
      </x:c>
      <x:c r="B18" s="47" t="str">
        <x:v>数量</x:v>
      </x:c>
      <x:c r="C18" s="40" t="str">
        <x:v>说明</x:v>
      </x:c>
    </x:row>
    <x:row r="19">
      <x:c r="A19" s="41" t="str">
        <x:v>去重后的有效邮箱地址</x:v>
      </x:c>
      <x:c r="B19" s="44" t="n">
        <x:v>46</x:v>
      </x:c>
      <x:c r="C19" s="41" t="str">
        <x:v>按邮箱文本跨公司去重；不是公司级业务指标</x:v>
      </x:c>
    </x:row>
    <x:row r="20">
      <x:c r="A20" s="41" t="str">
        <x:v>公司—邮箱有效关联记录</x:v>
      </x:c>
      <x:c r="B20" s="44" t="n">
        <x:v>49</x:v>
      </x:c>
      <x:c r="C20" s="41" t="str">
        <x:v>未跨公司去重；仅供数据审计</x:v>
      </x:c>
    </x:row>
    <x:row r="21">
      <x:c r="A21" s="41"/>
      <x:c r="B21" s="46"/>
      <x:c r="C21" s="41"/>
    </x:row>
    <x:row r="22">
      <x:c r="A22" s="40" t="str">
        <x:v>费用构成</x:v>
      </x:c>
      <x:c r="B22" s="47" t="str">
        <x:v>金额（元）</x:v>
      </x:c>
      <x:c r="C22" s="40" t="str">
        <x:v>说明</x:v>
      </x:c>
    </x:row>
    <x:row r="23">
      <x:c r="A23" s="41" t="str">
        <x:v>海关客户搜索</x:v>
      </x:c>
      <x:c r="B23" s="45" t="n">
        <x:v>12</x:v>
      </x:c>
      <x:c r="C23" s="41" t="str">
        <x:v>早期搜索 + 本轮3次增量翻页</x:v>
      </x:c>
    </x:row>
    <x:row r="24">
      <x:c r="A24" s="41" t="str">
        <x:v>海关公司联系方式</x:v>
      </x:c>
      <x:c r="B24" s="45" t="n">
        <x:v>61</x:v>
      </x:c>
      <x:c r="C24" s="41" t="str">
        <x:v>早期调用 + 本轮19家公司</x:v>
      </x:c>
    </x:row>
    <x:row r="25">
      <x:c r="A25" s="41" t="str">
        <x:v>人物搜索</x:v>
      </x:c>
      <x:c r="B25" s="45" t="n">
        <x:v>19.5</x:v>
      </x:c>
      <x:c r="C25" s="41" t="str">
        <x:v>混合搜索1页 + 逐公司12页</x:v>
      </x:c>
    </x:row>
    <x:row r="26">
      <x:c r="A26" s="41" t="str">
        <x:v>人物联系方式</x:v>
      </x:c>
      <x:c r="B26" s="45" t="n">
        <x:v>3</x:v>
      </x:c>
      <x:c r="C26" s="41" t="str">
        <x:v>人工审查后仅购买6人</x:v>
      </x:c>
    </x:row>
    <x:row r="27">
      <x:c r="A27" s="41" t="str">
        <x:v>邮箱验证</x:v>
      </x:c>
      <x:c r="B27" s="45" t="n">
        <x:v>3</x:v>
      </x:c>
      <x:c r="C27" s="41" t="str">
        <x:v>API、官网及人物新增邮箱</x:v>
      </x:c>
    </x:row>
    <x:row r="28">
      <x:c r="A28" s="41" t="str">
        <x:v>电话验证</x:v>
      </x:c>
      <x:c r="B28" s="45" t="n">
        <x:v>6.6</x:v>
      </x:c>
      <x:c r="C28" s="41" t="str">
        <x:v>主批58个 + 权威来源新增8个</x:v>
      </x:c>
    </x:row>
    <x:row r="29">
      <x:c r="A29" s="41"/>
      <x:c r="B29" s="41"/>
      <x:c r="C29" s="41"/>
    </x:row>
    <x:row r="30">
      <x:c r="A30" s="40" t="str">
        <x:v>流程改进</x:v>
      </x:c>
      <x:c r="B30" s="40" t="str">
        <x:v>优先级</x:v>
      </x:c>
      <x:c r="C30" s="40" t="str">
        <x:v>执行规则</x:v>
      </x:c>
    </x:row>
    <x:row r="31">
      <x:c r="A31" s="41" t="str">
        <x:v>先做法人实体去重</x:v>
      </x:c>
      <x:c r="B31" s="41" t="str">
        <x:v>P0</x:v>
      </x:c>
      <x:c r="C31" s="41" t="str">
        <x:v>公司名称+官网域名+国家归一化；重复实体复用已验证联系方式</x:v>
      </x:c>
    </x:row>
    <x:row r="32">
      <x:c r="A32" s="41" t="str">
        <x:v>所有来源进入统一验证队列</x:v>
      </x:c>
      <x:c r="B32" s="41" t="str">
        <x:v>P0</x:v>
      </x:c>
      <x:c r="C32" s="41" t="str">
        <x:v>API、官网、人物邮箱增量入库后立即验证；禁止只验API字段</x:v>
      </x:c>
    </x:row>
    <x:row r="33">
      <x:c r="A33" s="41" t="str">
        <x:v>人物搜索按公司逐个执行</x:v>
      </x:c>
      <x:c r="B33" s="41" t="str">
        <x:v>P0</x:v>
      </x:c>
      <x:c r="C33" s="41" t="str">
        <x:v>人工确认公司精确匹配后，每家公司最多购买1位高相关人员</x:v>
      </x:c>
    </x:row>
    <x:row r="34">
      <x:c r="A34" s="41" t="str">
        <x:v>状态3/0不盲目重试</x:v>
      </x:c>
      <x:c r="B34" s="41" t="str">
        <x:v>P1</x:v>
      </x:c>
      <x:c r="C34" s="41" t="str">
        <x:v>先查官网或换人物；避免反垃圾拦截导致重复付费</x:v>
      </x:c>
    </x:row>
    <x:row r="35">
      <x:c r="A35" s="41" t="str">
        <x:v>发送后用真实退信闭环</x:v>
      </x:c>
      <x:c r="B35" s="41" t="str">
        <x:v>P0</x:v>
      </x:c>
      <x:c r="C35" s="41" t="str">
        <x:v>小批量投递、记录硬退信、永久抑制无效地址；验证状态1仍非送达保证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6" hidden="0" customWidth="1"/>
    <x:col min="3" max="3" width="24" hidden="0" customWidth="1"/>
    <x:col min="4" max="4" width="16" hidden="0" customWidth="1"/>
  </x:cols>
  <x:sheetData>
    <x:row r="1">
      <x:c r="A1" s="37" t="str">
        <x:v>客户总表字段说明（按主表顺序）</x:v>
      </x:c>
      <x:c r="B1" s="37"/>
      <x:c r="C1" s="37"/>
      <x:c r="D1" s="37"/>
    </x:row>
    <x:row r="3">
      <x:c r="A3" s="40" t="str">
        <x:v>字段</x:v>
      </x:c>
      <x:c r="B3" s="40" t="str">
        <x:v>人话解释</x:v>
      </x:c>
      <x:c r="C3" s="40" t="str">
        <x:v>来源/计算</x:v>
      </x:c>
      <x:c r="D3" s="40" t="str">
        <x:v>是否关键</x:v>
      </x:c>
    </x:row>
    <x:row r="4">
      <x:c r="A4" s="41" t="str">
        <x:v>研究状态</x:v>
      </x:c>
      <x:c r="B4" s="41" t="str">
        <x:v>这家公司目前调研到哪一步</x:v>
      </x:c>
      <x:c r="C4" s="41" t="str">
        <x:v>API、官网或公式</x:v>
      </x:c>
      <x:c r="D4" s="41" t="str">
        <x:v>辅助/追溯</x:v>
      </x:c>
    </x:row>
    <x:row r="5">
      <x:c r="A5" s="41" t="str">
        <x:v>市场优先级</x:v>
      </x:c>
      <x:c r="B5" s="41" t="str">
        <x:v>欧美优先或全球常规</x:v>
      </x:c>
      <x:c r="C5" s="41" t="str">
        <x:v>API、官网或公式</x:v>
      </x:c>
      <x:c r="D5" s="41" t="str">
        <x:v>辅助/追溯</x:v>
      </x:c>
    </x:row>
    <x:row r="6">
      <x:c r="A6" s="41" t="str">
        <x:v>产品品类（中文）</x:v>
      </x:c>
      <x:c r="B6" s="41" t="str">
        <x:v>胶带、遮蔽膜或两者都命中</x:v>
      </x:c>
      <x:c r="C6" s="41" t="str">
        <x:v>API、官网或公式</x:v>
      </x:c>
      <x:c r="D6" s="41" t="str">
        <x:v>关键</x:v>
      </x:c>
    </x:row>
    <x:row r="7">
      <x:c r="A7" s="41" t="str">
        <x:v>公司ID</x:v>
      </x:c>
      <x:c r="B7" s="41" t="str">
        <x:v>跨境魔方中的公司唯一编号</x:v>
      </x:c>
      <x:c r="C7" s="41" t="str">
        <x:v>API、官网或公式</x:v>
      </x:c>
      <x:c r="D7" s="41" t="str">
        <x:v>辅助/追溯</x:v>
      </x:c>
    </x:row>
    <x:row r="8">
      <x:c r="A8" s="41" t="str">
        <x:v>公司名称</x:v>
      </x:c>
      <x:c r="B8" s="41" t="str">
        <x:v>公司名称；一行只放一家</x:v>
      </x:c>
      <x:c r="C8" s="41" t="str">
        <x:v>API、官网或公式</x:v>
      </x:c>
      <x:c r="D8" s="41" t="str">
        <x:v>关键</x:v>
      </x:c>
    </x:row>
    <x:row r="9">
      <x:c r="A9" s="41" t="str">
        <x:v>国家/地区（中文）</x:v>
      </x:c>
      <x:c r="B9" s="41" t="str">
        <x:v>公司所在国家的中文名称</x:v>
      </x:c>
      <x:c r="C9" s="41" t="str">
        <x:v>API、官网或公式</x:v>
      </x:c>
      <x:c r="D9" s="41" t="str">
        <x:v>关键</x:v>
      </x:c>
    </x:row>
    <x:row r="10">
      <x:c r="A10" s="41" t="str">
        <x:v>首选邮箱</x:v>
      </x:c>
      <x:c r="B10" s="41" t="str">
        <x:v>优先取官网补充邮箱，否则取API/人物邮箱</x:v>
      </x:c>
      <x:c r="C10" s="41" t="str">
        <x:v>API、官网或公式</x:v>
      </x:c>
      <x:c r="D10" s="41" t="str">
        <x:v>关键</x:v>
      </x:c>
    </x:row>
    <x:row r="11">
      <x:c r="A11" s="41" t="str">
        <x:v>邮箱可用状态</x:v>
      </x:c>
      <x:c r="B11" s="41" t="str">
        <x:v>有效、无效、不确定或接口未能检测</x:v>
      </x:c>
      <x:c r="C11" s="41" t="str">
        <x:v>API、官网或公式</x:v>
      </x:c>
      <x:c r="D11" s="41" t="str">
        <x:v>关键</x:v>
      </x:c>
    </x:row>
    <x:row r="12">
      <x:c r="A12" s="41" t="str">
        <x:v>首选电话</x:v>
      </x:c>
      <x:c r="B12" s="41" t="str">
        <x:v>优先取官网电话，否则取API电话</x:v>
      </x:c>
      <x:c r="C12" s="41" t="str">
        <x:v>API、官网或公式</x:v>
      </x:c>
      <x:c r="D12" s="41" t="str">
        <x:v>关键</x:v>
      </x:c>
    </x:row>
    <x:row r="13">
      <x:c r="A13" s="41" t="str">
        <x:v>官网</x:v>
      </x:c>
      <x:c r="B13" s="41" t="str">
        <x:v>公司网站</x:v>
      </x:c>
      <x:c r="C13" s="41" t="str">
        <x:v>API、官网或公式</x:v>
      </x:c>
      <x:c r="D13" s="41" t="str">
        <x:v>关键</x:v>
      </x:c>
    </x:row>
    <x:row r="14">
      <x:c r="A14" s="41" t="str">
        <x:v>联系完整度</x:v>
      </x:c>
      <x:c r="B14" s="41" t="str">
        <x:v>按有效邮箱、有效电话、官网、社媒加权</x:v>
      </x:c>
      <x:c r="C14" s="41" t="str">
        <x:v>API、官网或公式</x:v>
      </x:c>
      <x:c r="D14" s="41" t="str">
        <x:v>辅助/追溯</x:v>
      </x:c>
    </x:row>
    <x:row r="15">
      <x:c r="A15" s="41" t="str">
        <x:v>跟进状态</x:v>
      </x:c>
      <x:c r="B15" s="41" t="str">
        <x:v>人工维护的销售进度</x:v>
      </x:c>
      <x:c r="C15" s="41" t="str">
        <x:v>API、官网或公式</x:v>
      </x:c>
      <x:c r="D15" s="41" t="str">
        <x:v>关键</x:v>
      </x:c>
    </x:row>
    <x:row r="16">
      <x:c r="A16" s="41" t="str">
        <x:v>负责人</x:v>
      </x:c>
      <x:c r="B16" s="41" t="str">
        <x:v>人工填写跟进人</x:v>
      </x:c>
      <x:c r="C16" s="41" t="str">
        <x:v>API、官网或公式</x:v>
      </x:c>
      <x:c r="D16" s="41" t="str">
        <x:v>辅助/追溯</x:v>
      </x:c>
    </x:row>
    <x:row r="17">
      <x:c r="A17" s="41" t="str">
        <x:v>API地址（原文）</x:v>
      </x:c>
      <x:c r="B17" s="41" t="str">
        <x:v>跨境魔方返回的原始公司地址</x:v>
      </x:c>
      <x:c r="C17" s="41" t="str">
        <x:v>API、官网或公式</x:v>
      </x:c>
      <x:c r="D17" s="41" t="str">
        <x:v>辅助/追溯</x:v>
      </x:c>
    </x:row>
    <x:row r="18">
      <x:c r="A18" s="41" t="str">
        <x:v>官网核验地址（原文）</x:v>
      </x:c>
      <x:c r="B18" s="41" t="str">
        <x:v>官网或权威来源确认的原始地址</x:v>
      </x:c>
      <x:c r="C18" s="41" t="str">
        <x:v>API、官网或公式</x:v>
      </x:c>
      <x:c r="D18" s="41" t="str">
        <x:v>辅助/追溯</x:v>
      </x:c>
    </x:row>
    <x:row r="19">
      <x:c r="A19" s="41" t="str">
        <x:v>经营范围（原文）</x:v>
      </x:c>
      <x:c r="B19" s="41" t="str">
        <x:v>API返回的公司经营或产品范围原文</x:v>
      </x:c>
      <x:c r="C19" s="41" t="str">
        <x:v>API、官网或公式</x:v>
      </x:c>
      <x:c r="D19" s="41" t="str">
        <x:v>辅助/追溯</x:v>
      </x:c>
    </x:row>
    <x:row r="20">
      <x:c r="A20" s="41" t="str">
        <x:v>匹配贸易次数</x:v>
      </x:c>
      <x:c r="B20" s="41" t="str">
        <x:v>与本品类匹配的贸易记录数</x:v>
      </x:c>
      <x:c r="C20" s="41" t="str">
        <x:v>API、官网或公式</x:v>
      </x:c>
      <x:c r="D20" s="41" t="str">
        <x:v>辅助/追溯</x:v>
      </x:c>
    </x:row>
    <x:row r="21">
      <x:c r="A21" s="41" t="str">
        <x:v>贸易总次数</x:v>
      </x:c>
      <x:c r="B21" s="41" t="str">
        <x:v>该公司全部贸易记录数</x:v>
      </x:c>
      <x:c r="C21" s="41" t="str">
        <x:v>API、官网或公式</x:v>
      </x:c>
      <x:c r="D21" s="41" t="str">
        <x:v>辅助/追溯</x:v>
      </x:c>
    </x:row>
    <x:row r="22">
      <x:c r="A22" s="41" t="str">
        <x:v>匹配占比</x:v>
      </x:c>
      <x:c r="B22" s="41" t="str">
        <x:v>匹配贸易次数占总贸易次数</x:v>
      </x:c>
      <x:c r="C22" s="41" t="str">
        <x:v>API、官网或公式</x:v>
      </x:c>
      <x:c r="D22" s="41" t="str">
        <x:v>辅助/追溯</x:v>
      </x:c>
    </x:row>
    <x:row r="23">
      <x:c r="A23" s="41" t="str">
        <x:v>最近贸易日期</x:v>
      </x:c>
      <x:c r="B23" s="41" t="str">
        <x:v>最近一笔相关贸易日期</x:v>
      </x:c>
      <x:c r="C23" s="41" t="str">
        <x:v>API、官网或公式</x:v>
      </x:c>
      <x:c r="D23" s="41" t="str">
        <x:v>辅助/追溯</x:v>
      </x:c>
    </x:row>
    <x:row r="24">
      <x:c r="A24" s="41" t="str">
        <x:v>API邮箱</x:v>
      </x:c>
      <x:c r="B24" s="41" t="str">
        <x:v>海关公司API和审查后人物API获取的邮箱</x:v>
      </x:c>
      <x:c r="C24" s="41" t="str">
        <x:v>API、官网或公式</x:v>
      </x:c>
      <x:c r="D24" s="41" t="str">
        <x:v>辅助/追溯</x:v>
      </x:c>
    </x:row>
    <x:row r="25">
      <x:c r="A25" s="41" t="str">
        <x:v>官网补充邮箱</x:v>
      </x:c>
      <x:c r="B25" s="41" t="str">
        <x:v>官网、政府或权威目录补充的邮箱</x:v>
      </x:c>
      <x:c r="C25" s="41" t="str">
        <x:v>API、官网或公式</x:v>
      </x:c>
      <x:c r="D25" s="41" t="str">
        <x:v>辅助/追溯</x:v>
      </x:c>
    </x:row>
    <x:row r="26">
      <x:c r="A26" s="41" t="str">
        <x:v>API电话</x:v>
      </x:c>
      <x:c r="B26" s="41" t="str">
        <x:v>跨境魔方返回的电话</x:v>
      </x:c>
      <x:c r="C26" s="41" t="str">
        <x:v>API、官网或公式</x:v>
      </x:c>
      <x:c r="D26" s="41" t="str">
        <x:v>辅助/追溯</x:v>
      </x:c>
    </x:row>
    <x:row r="27">
      <x:c r="A27" s="41" t="str">
        <x:v>官网补充电话</x:v>
      </x:c>
      <x:c r="B27" s="41" t="str">
        <x:v>官网、政府或权威目录补充的电话</x:v>
      </x:c>
      <x:c r="C27" s="41" t="str">
        <x:v>API、官网或公式</x:v>
      </x:c>
      <x:c r="D27" s="41" t="str">
        <x:v>辅助/追溯</x:v>
      </x:c>
    </x:row>
    <x:row r="28">
      <x:c r="A28" s="41" t="str">
        <x:v>电话验证详情</x:v>
      </x:c>
      <x:c r="B28" s="41" t="str">
        <x:v>每个号码的有效状态、类型及WhatsApp状态</x:v>
      </x:c>
      <x:c r="C28" s="41" t="str">
        <x:v>API、官网或公式</x:v>
      </x:c>
      <x:c r="D28" s="41" t="str">
        <x:v>关键</x:v>
      </x:c>
    </x:row>
    <x:row r="29">
      <x:c r="A29" s="41" t="str">
        <x:v>WhatsApp</x:v>
      </x:c>
      <x:c r="B29" s="41" t="str">
        <x:v>明确识别的WhatsApp号码</x:v>
      </x:c>
      <x:c r="C29" s="41" t="str">
        <x:v>API、官网或公式</x:v>
      </x:c>
      <x:c r="D29" s="41" t="str">
        <x:v>辅助/追溯</x:v>
      </x:c>
    </x:row>
    <x:row r="30">
      <x:c r="A30" s="41" t="str">
        <x:v>社交媒体</x:v>
      </x:c>
      <x:c r="B30" s="41" t="str">
        <x:v>LinkedIn等链接</x:v>
      </x:c>
      <x:c r="C30" s="41" t="str">
        <x:v>API、官网或公式</x:v>
      </x:c>
      <x:c r="D30" s="41" t="str">
        <x:v>辅助/追溯</x:v>
      </x:c>
    </x:row>
    <x:row r="31">
      <x:c r="A31" s="41" t="str">
        <x:v>官网联系渠道</x:v>
      </x:c>
      <x:c r="B31" s="41" t="str">
        <x:v>官网表单、客服入口等</x:v>
      </x:c>
      <x:c r="C31" s="41" t="str">
        <x:v>API、官网或公式</x:v>
      </x:c>
      <x:c r="D31" s="41" t="str">
        <x:v>辅助/追溯</x:v>
      </x:c>
    </x:row>
    <x:row r="32">
      <x:c r="A32" s="41" t="str">
        <x:v>邮箱验证详情</x:v>
      </x:c>
      <x:c r="B32" s="41" t="str">
        <x:v>每个邮箱及状态码；1有效、2无效、3不确定、0未能检测</x:v>
      </x:c>
      <x:c r="C32" s="41" t="str">
        <x:v>API、官网或公式</x:v>
      </x:c>
      <x:c r="D32" s="41" t="str">
        <x:v>辅助/追溯</x:v>
      </x:c>
    </x:row>
    <x:row r="33">
      <x:c r="A33" s="41" t="str">
        <x:v>产品名称</x:v>
      </x:c>
      <x:c r="B33" s="41" t="str">
        <x:v>API结构化产品名；已知词优先显示中文</x:v>
      </x:c>
      <x:c r="C33" s="41" t="str">
        <x:v>API、官网或公式</x:v>
      </x:c>
      <x:c r="D33" s="41" t="str">
        <x:v>辅助/追溯</x:v>
      </x:c>
    </x:row>
    <x:row r="34">
      <x:c r="A34" s="41" t="str">
        <x:v>产品标签</x:v>
      </x:c>
      <x:c r="B34" s="41" t="str">
        <x:v>API提取的产品关键词；已知词优先显示中文</x:v>
      </x:c>
      <x:c r="C34" s="41" t="str">
        <x:v>API、官网或公式</x:v>
      </x:c>
      <x:c r="D34" s="41" t="str">
        <x:v>辅助/追溯</x:v>
      </x:c>
    </x:row>
    <x:row r="35">
      <x:c r="A35" s="41" t="str">
        <x:v>报关品名/命中证据（原文）</x:v>
      </x:c>
      <x:c r="B35" s="41" t="str">
        <x:v>原始报关品名；用于证明为何列入</x:v>
      </x:c>
      <x:c r="C35" s="41" t="str">
        <x:v>API、官网或公式</x:v>
      </x:c>
      <x:c r="D35" s="41" t="str">
        <x:v>关键</x:v>
      </x:c>
    </x:row>
    <x:row r="36">
      <x:c r="A36" s="41" t="str">
        <x:v>产品别名</x:v>
      </x:c>
      <x:c r="B36" s="41" t="str">
        <x:v>API返回的近义词；已知词优先显示中文</x:v>
      </x:c>
      <x:c r="C36" s="41" t="str">
        <x:v>API、官网或公式</x:v>
      </x:c>
      <x:c r="D36" s="41" t="str">
        <x:v>辅助/追溯</x:v>
      </x:c>
    </x:row>
    <x:row r="37">
      <x:c r="A37" s="41" t="str">
        <x:v>上游词</x:v>
      </x:c>
      <x:c r="B37" s="41" t="str">
        <x:v>API返回的上游关联词；已知词优先显示中文</x:v>
      </x:c>
      <x:c r="C37" s="41" t="str">
        <x:v>API、官网或公式</x:v>
      </x:c>
      <x:c r="D37" s="41" t="str">
        <x:v>辅助/追溯</x:v>
      </x:c>
    </x:row>
    <x:row r="38">
      <x:c r="A38" s="41" t="str">
        <x:v>下游词</x:v>
      </x:c>
      <x:c r="B38" s="41" t="str">
        <x:v>API返回的下游关联词；已知词优先显示中文</x:v>
      </x:c>
      <x:c r="C38" s="41" t="str">
        <x:v>API、官网或公式</x:v>
      </x:c>
      <x:c r="D38" s="41" t="str">
        <x:v>辅助/追溯</x:v>
      </x:c>
    </x:row>
    <x:row r="39">
      <x:c r="A39" s="41" t="str">
        <x:v>搜索词（中文）</x:v>
      </x:c>
      <x:c r="B39" s="41" t="str">
        <x:v>找到该公司的中文查询词</x:v>
      </x:c>
      <x:c r="C39" s="41" t="str">
        <x:v>API、官网或公式</x:v>
      </x:c>
      <x:c r="D39" s="41" t="str">
        <x:v>辅助/追溯</x:v>
      </x:c>
    </x:row>
    <x:row r="40">
      <x:c r="A40" s="41" t="str">
        <x:v>搜索原始来源</x:v>
      </x:c>
      <x:c r="B40" s="41" t="str">
        <x:v>对应原始搜索文件</x:v>
      </x:c>
      <x:c r="C40" s="41" t="str">
        <x:v>API、官网或公式</x:v>
      </x:c>
      <x:c r="D40" s="41" t="str">
        <x:v>辅助/追溯</x:v>
      </x:c>
    </x:row>
    <x:row r="41">
      <x:c r="A41" s="41" t="str">
        <x:v>API联系方式来源</x:v>
      </x:c>
      <x:c r="B41" s="41" t="str">
        <x:v>联系方式来自哪个API</x:v>
      </x:c>
      <x:c r="C41" s="41" t="str">
        <x:v>API、官网或公式</x:v>
      </x:c>
      <x:c r="D41" s="41" t="str">
        <x:v>辅助/追溯</x:v>
      </x:c>
    </x:row>
    <x:row r="42">
      <x:c r="A42" s="41" t="str">
        <x:v>官网核验来源</x:v>
      </x:c>
      <x:c r="B42" s="41" t="str">
        <x:v>核验网页或权威文件链接</x:v>
      </x:c>
      <x:c r="C42" s="41" t="str">
        <x:v>API、官网或公式</x:v>
      </x:c>
      <x:c r="D42" s="41" t="str">
        <x:v>辅助/追溯</x:v>
      </x:c>
    </x:row>
    <x:row r="43">
      <x:c r="A43" s="41" t="str">
        <x:v>官网核验说明</x:v>
      </x:c>
      <x:c r="B43" s="41" t="str">
        <x:v>人工核验结论、人物职位和排除原因</x:v>
      </x:c>
      <x:c r="C43" s="41" t="str">
        <x:v>API、官网或公式</x:v>
      </x:c>
      <x:c r="D43" s="41" t="str">
        <x:v>辅助/追溯</x:v>
      </x:c>
    </x:row>
    <x:row r="44">
      <x:c r="A44" s="41" t="str">
        <x:v>最后核验日期</x:v>
      </x:c>
      <x:c r="B44" s="41" t="str">
        <x:v>本行最后一次数据核验日期</x:v>
      </x:c>
      <x:c r="C44" s="41" t="str">
        <x:v>API、官网或公式</x:v>
      </x:c>
      <x:c r="D44" s="41" t="str">
        <x:v>辅助/追溯</x:v>
      </x:c>
    </x:row>
  </x:sheetData>
  <x:mergeCells>
    <x:mergeCell ref="A1:D1"/>
  </x:mergeCells>
  <x:pageMargins left="0.7" right="0.7" top="0.75" bottom="0.75" header="0.3" footer="0.3"/>
</x:worksheet>
</file>